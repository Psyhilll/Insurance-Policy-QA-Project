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13_ncr:1_{255B573A-3655-4C9C-88E5-A3DA83330D0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ver" sheetId="1" r:id="rId1"/>
    <sheet name="Test Cases" sheetId="2" r:id="rId2"/>
    <sheet name="RTM" sheetId="3" r:id="rId3"/>
    <sheet name="Summary" sheetId="4" r:id="rId4"/>
  </sheets>
  <definedNames>
    <definedName name="_xlnm._FilterDatabase" localSheetId="2" hidden="1">RTM!$A$1:$G$25</definedName>
    <definedName name="_xlnm._FilterDatabase" localSheetId="1" hidden="1">'Test Cases'!$A$1:$L$61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C14" i="4"/>
  <c r="C13" i="4"/>
  <c r="C9" i="4"/>
  <c r="C8" i="4"/>
  <c r="C7" i="4"/>
  <c r="C6" i="4"/>
  <c r="C5" i="4"/>
  <c r="C4" i="4"/>
  <c r="C14" i="1"/>
  <c r="C13" i="1"/>
  <c r="C12" i="1"/>
  <c r="C11" i="1"/>
</calcChain>
</file>

<file path=xl/sharedStrings.xml><?xml version="1.0" encoding="utf-8"?>
<sst xmlns="http://schemas.openxmlformats.org/spreadsheetml/2006/main" count="938" uniqueCount="460">
  <si>
    <t>SafeGuard Insurance – Test Cases</t>
  </si>
  <si>
    <t>Policy &amp; Claims Management System</t>
  </si>
  <si>
    <t>Project</t>
  </si>
  <si>
    <t>SafeGuard Insurance QA Portfolio</t>
  </si>
  <si>
    <t>Document ID</t>
  </si>
  <si>
    <t>TC-SGIC-001</t>
  </si>
  <si>
    <t>Version</t>
  </si>
  <si>
    <t>1.0</t>
  </si>
  <si>
    <t>Prepared By</t>
  </si>
  <si>
    <t>Sahil</t>
  </si>
  <si>
    <t>Date</t>
  </si>
  <si>
    <t>2025-06-01</t>
  </si>
  <si>
    <t>Total TCs</t>
  </si>
  <si>
    <t>Pass</t>
  </si>
  <si>
    <t>Fail</t>
  </si>
  <si>
    <t>Not Run</t>
  </si>
  <si>
    <t>TC ID</t>
  </si>
  <si>
    <t>Module</t>
  </si>
  <si>
    <t>Sub-Module</t>
  </si>
  <si>
    <t>Test Case Title</t>
  </si>
  <si>
    <t>Pre-Conditions</t>
  </si>
  <si>
    <t>Test Steps</t>
  </si>
  <si>
    <t>Expected Result</t>
  </si>
  <si>
    <t>Test Type</t>
  </si>
  <si>
    <t>Priority</t>
  </si>
  <si>
    <t>Severity</t>
  </si>
  <si>
    <t>Automation?</t>
  </si>
  <si>
    <t>Status</t>
  </si>
  <si>
    <t>TC001</t>
  </si>
  <si>
    <t>Registration</t>
  </si>
  <si>
    <t>Valid Registration</t>
  </si>
  <si>
    <t>Register with all valid details</t>
  </si>
  <si>
    <t>App running, user on /register</t>
  </si>
  <si>
    <t>1. Go to /register
2. Enter valid first/last name
3. Enter valid email
4. Enter phone
5. Enter password (8+ chars)
6. Confirm password
7. Click Create Account</t>
  </si>
  <si>
    <t>Account created, redirected to /login, success message shown</t>
  </si>
  <si>
    <t>Functional</t>
  </si>
  <si>
    <t>High</t>
  </si>
  <si>
    <t>Critical</t>
  </si>
  <si>
    <t>Yes</t>
  </si>
  <si>
    <t>TC002</t>
  </si>
  <si>
    <t>Duplicate Email</t>
  </si>
  <si>
    <t>Register with already-used email</t>
  </si>
  <si>
    <t>Existing account with same email</t>
  </si>
  <si>
    <t>1. Go to /register
2. Enter email already registered
3. Fill other fields
4. Submit</t>
  </si>
  <si>
    <t>Error: 'Email already registered'</t>
  </si>
  <si>
    <t>Negative</t>
  </si>
  <si>
    <t>Major</t>
  </si>
  <si>
    <t>TC003</t>
  </si>
  <si>
    <t>Empty Fields</t>
  </si>
  <si>
    <t>Submit form with all fields empty</t>
  </si>
  <si>
    <t>App running</t>
  </si>
  <si>
    <t>1. Go to /register
2. Leave all fields blank
3. Click Create Account</t>
  </si>
  <si>
    <t>Form validation errors shown for required fields</t>
  </si>
  <si>
    <t>TC004</t>
  </si>
  <si>
    <t>Password Mismatch</t>
  </si>
  <si>
    <t>Enter non-matching passwords</t>
  </si>
  <si>
    <t>1. Go to /register
2. Fill valid details
3. Password: Test@1234
4. Confirm: Test@9999
5. Submit</t>
  </si>
  <si>
    <t>Error: 'Passwords do not match'</t>
  </si>
  <si>
    <t>TC005</t>
  </si>
  <si>
    <t>Short Password</t>
  </si>
  <si>
    <t>Password under 8 characters</t>
  </si>
  <si>
    <t>1. Go to /register
2. Enter password: 'abc'
3. Fill other valid fields
4. Submit</t>
  </si>
  <si>
    <t>Error: 'Password must be at least 8 characters'</t>
  </si>
  <si>
    <t>Boundary</t>
  </si>
  <si>
    <t>Medium</t>
  </si>
  <si>
    <t>No</t>
  </si>
  <si>
    <t>TC006</t>
  </si>
  <si>
    <t>Invalid Email Format</t>
  </si>
  <si>
    <t>Enter malformed email</t>
  </si>
  <si>
    <t>1. Go to /register
2. Enter email: 'notanemail'
3. Submit</t>
  </si>
  <si>
    <t>Browser/form validation prevents submission</t>
  </si>
  <si>
    <t>Minor</t>
  </si>
  <si>
    <t>TC007</t>
  </si>
  <si>
    <t>Missing First Name</t>
  </si>
  <si>
    <t>Submit without first name</t>
  </si>
  <si>
    <t>1. Go to /register
2. Leave first name blank
3. Fill all other fields
4. Submit</t>
  </si>
  <si>
    <t>Error shown for required first name field</t>
  </si>
  <si>
    <t>TC008</t>
  </si>
  <si>
    <t>Missing Last Name</t>
  </si>
  <si>
    <t>Submit without last name</t>
  </si>
  <si>
    <t>1. Go to /register
2. Leave last name blank
3. Fill other fields
4. Submit</t>
  </si>
  <si>
    <t>Error shown for required last name field</t>
  </si>
  <si>
    <t>TC009</t>
  </si>
  <si>
    <t>Special Characters in Name</t>
  </si>
  <si>
    <t>Name with special characters</t>
  </si>
  <si>
    <t>1. Enter first name: 'O'Brien'
2. Fill other valid fields
3. Submit</t>
  </si>
  <si>
    <t>Account created successfully</t>
  </si>
  <si>
    <t>Low</t>
  </si>
  <si>
    <t>TC010</t>
  </si>
  <si>
    <t>Long Email</t>
  </si>
  <si>
    <t>Email at max length (120 chars)</t>
  </si>
  <si>
    <t>1. Enter 120-character email
2. Fill other valid fields
3. Submit</t>
  </si>
  <si>
    <t>Account created OR appropriate length error shown</t>
  </si>
  <si>
    <t>TC011</t>
  </si>
  <si>
    <t>Login</t>
  </si>
  <si>
    <t>Valid Login</t>
  </si>
  <si>
    <t>Login with correct credentials</t>
  </si>
  <si>
    <t>Registered account exists</t>
  </si>
  <si>
    <t>1. Go to /login
2. Enter valid email
3. Enter valid password
4. Click Sign In</t>
  </si>
  <si>
    <t>Redirected to /dashboard, welcome message shown</t>
  </si>
  <si>
    <t>TC012</t>
  </si>
  <si>
    <t>Wrong Password</t>
  </si>
  <si>
    <t>Login with incorrect password</t>
  </si>
  <si>
    <t>1. Go to /login
2. Enter valid email
3. Enter wrong password
4. Submit</t>
  </si>
  <si>
    <t>Error: 'Invalid email or password'</t>
  </si>
  <si>
    <t>TC013</t>
  </si>
  <si>
    <t>Non-Existent Email</t>
  </si>
  <si>
    <t>Login with unregistered email</t>
  </si>
  <si>
    <t>1. Go to /login
2. Enter unknown@test.com
3. Enter any password
4. Submit</t>
  </si>
  <si>
    <t>TC014</t>
  </si>
  <si>
    <t>Empty Email</t>
  </si>
  <si>
    <t>Submit login with blank email</t>
  </si>
  <si>
    <t>1. Go to /login
2. Leave email blank
3. Enter password
4. Submit</t>
  </si>
  <si>
    <t>Validation error: email required</t>
  </si>
  <si>
    <t>TC015</t>
  </si>
  <si>
    <t>Empty Password</t>
  </si>
  <si>
    <t>Submit login with blank password</t>
  </si>
  <si>
    <t>1. Go to /login
2. Enter valid email
3. Leave password blank
4. Submit</t>
  </si>
  <si>
    <t>Validation error: password required</t>
  </si>
  <si>
    <t>TC016</t>
  </si>
  <si>
    <t>Admin Login</t>
  </si>
  <si>
    <t>Login as admin user</t>
  </si>
  <si>
    <t>Admin account exists</t>
  </si>
  <si>
    <t>1. Go to /login
2. Enter admin@insurance.com
3. Enter Admin@1234
4. Submit</t>
  </si>
  <si>
    <t>Redirected to /admin dashboard</t>
  </si>
  <si>
    <t>TC017</t>
  </si>
  <si>
    <t>Session Persistence</t>
  </si>
  <si>
    <t>Session maintained after login</t>
  </si>
  <si>
    <t>Valid customer account</t>
  </si>
  <si>
    <t>1. Login successfully
2. Close and reopen tab
3. Navigate to /dashboard</t>
  </si>
  <si>
    <t>User remains logged in (session cookie persists)</t>
  </si>
  <si>
    <t>TC018</t>
  </si>
  <si>
    <t>Logout</t>
  </si>
  <si>
    <t>Logout ends the session</t>
  </si>
  <si>
    <t>User is logged in</t>
  </si>
  <si>
    <t>1. Login
2. Click Logout
3. Try to access /dashboard</t>
  </si>
  <si>
    <t>Redirected to /login with logout message</t>
  </si>
  <si>
    <t>TC019</t>
  </si>
  <si>
    <t>Access Dashboard Without Login</t>
  </si>
  <si>
    <t>Direct URL access when not logged in</t>
  </si>
  <si>
    <t>Not logged in</t>
  </si>
  <si>
    <t>1. Open browser
2. Navigate to /dashboard directly</t>
  </si>
  <si>
    <t>Redirected to /login with warning message</t>
  </si>
  <si>
    <t>Security</t>
  </si>
  <si>
    <t>TC020</t>
  </si>
  <si>
    <t>Case Sensitivity Email</t>
  </si>
  <si>
    <t>Login email case-insensitive check</t>
  </si>
  <si>
    <t>Account: test@test.com exists</t>
  </si>
  <si>
    <t>1. Login with TEST@TEST.COM
2. Submit</t>
  </si>
  <si>
    <t>Check if system handles or rejects — document behavior</t>
  </si>
  <si>
    <t>TC021</t>
  </si>
  <si>
    <t>Quote</t>
  </si>
  <si>
    <t>Valid Quote – Auto</t>
  </si>
  <si>
    <t>Generate auto insurance quote</t>
  </si>
  <si>
    <t>Logged in as customer</t>
  </si>
  <si>
    <t>1. Go to /quote
2. Select Auto
3. Enter coverage: 50000
4. Enter age: 30
5. Click Calculate</t>
  </si>
  <si>
    <t>Quote displayed: Premium = $1,650.00</t>
  </si>
  <si>
    <t>TC022</t>
  </si>
  <si>
    <t>Valid Quote – Health</t>
  </si>
  <si>
    <t>Generate health insurance quote</t>
  </si>
  <si>
    <t>1. Select Health
2. Coverage: 100000
3. Age: 25
4. Submit</t>
  </si>
  <si>
    <t>Quote displayed with correct premium calculation</t>
  </si>
  <si>
    <t>TC023</t>
  </si>
  <si>
    <t>Valid Quote – Life</t>
  </si>
  <si>
    <t>Generate life insurance quote</t>
  </si>
  <si>
    <t>1. Select Life
2. Coverage: 200000
3. Age: 40
4. Submit</t>
  </si>
  <si>
    <t>Quote displayed: 2% base rate + age factor applied</t>
  </si>
  <si>
    <t>TC024</t>
  </si>
  <si>
    <t>Valid Quote – Home</t>
  </si>
  <si>
    <t>Generate home insurance quote</t>
  </si>
  <si>
    <t>1. Select Home
2. Coverage: 300000
3. Age: 35
4. Submit</t>
  </si>
  <si>
    <t>Quote displayed: 1% base rate applied</t>
  </si>
  <si>
    <t>TC025</t>
  </si>
  <si>
    <t>Age Below Minimum</t>
  </si>
  <si>
    <t>Enter age below 18</t>
  </si>
  <si>
    <t>1. Go to /quote
2. Enter age: 17
3. Fill other fields
4. Submit</t>
  </si>
  <si>
    <t>Error: 'Age must be between 18 and 100'</t>
  </si>
  <si>
    <t>TC026</t>
  </si>
  <si>
    <t>Age Above Maximum</t>
  </si>
  <si>
    <t>Enter age above 100</t>
  </si>
  <si>
    <t>1. Go to /quote
2. Enter age: 101
3. Fill other fields
4. Submit</t>
  </si>
  <si>
    <t>TC027</t>
  </si>
  <si>
    <t>Zero Coverage Amount</t>
  </si>
  <si>
    <t>Enter coverage amount of 0</t>
  </si>
  <si>
    <t>1. Go to /quote
2. Enter coverage: 0
3. Fill other fields
4. Submit</t>
  </si>
  <si>
    <t>Error: 'Coverage amount must be greater than 0'</t>
  </si>
  <si>
    <t>TC028</t>
  </si>
  <si>
    <t>Negative Coverage</t>
  </si>
  <si>
    <t>Enter negative coverage amount</t>
  </si>
  <si>
    <t>1. Enter coverage: -5000
2. Submit</t>
  </si>
  <si>
    <t>Validation error shown</t>
  </si>
  <si>
    <t>TC029</t>
  </si>
  <si>
    <t>No Policy Type Selected</t>
  </si>
  <si>
    <t>Submit without selecting policy type</t>
  </si>
  <si>
    <t>1. Leave policy type as default
2. Fill other fields
3. Submit</t>
  </si>
  <si>
    <t>Validation error: policy type required</t>
  </si>
  <si>
    <t>TC030</t>
  </si>
  <si>
    <t>Premium Calculation Accuracy</t>
  </si>
  <si>
    <t>Verify premium formula is correct</t>
  </si>
  <si>
    <t>1. Auto, coverage $50000, age 30
2. Expected: 50000 * 0.03 * 1.05 = $1575
3. Check displayed value</t>
  </si>
  <si>
    <t>Premium matches formula: coverage * rate * (1 + (age-25)*0.01)</t>
  </si>
  <si>
    <t>TC031</t>
  </si>
  <si>
    <t>Policy</t>
  </si>
  <si>
    <t>Purchase Policy</t>
  </si>
  <si>
    <t>Purchase from a valid quote</t>
  </si>
  <si>
    <t>Quote generated</t>
  </si>
  <si>
    <t>1. Get a quote
2. Click Purchase This Policy
3. Enter start date
4. Enter end date
5. Confirm</t>
  </si>
  <si>
    <t>Policy created, redirected to dashboard, success message</t>
  </si>
  <si>
    <t>TC032</t>
  </si>
  <si>
    <t>Missing Start Date</t>
  </si>
  <si>
    <t>Submit purchase without start date</t>
  </si>
  <si>
    <t>On purchase page</t>
  </si>
  <si>
    <t>1. Leave start date blank
2. Enter end date
3. Submit</t>
  </si>
  <si>
    <t>Validation error: start date required</t>
  </si>
  <si>
    <t>TC033</t>
  </si>
  <si>
    <t>Missing End Date</t>
  </si>
  <si>
    <t>Submit purchase without end date</t>
  </si>
  <si>
    <t>1. Enter start date
2. Leave end date blank
3. Submit</t>
  </si>
  <si>
    <t>Validation error: end date required</t>
  </si>
  <si>
    <t>TC034</t>
  </si>
  <si>
    <t>Policy Appears on Dashboard</t>
  </si>
  <si>
    <t>New policy visible on dashboard</t>
  </si>
  <si>
    <t>Policy purchased</t>
  </si>
  <si>
    <t>1. Purchase a policy
2. Go to /dashboard</t>
  </si>
  <si>
    <t>Policy listed in My Policies section</t>
  </si>
  <si>
    <t>TC035</t>
  </si>
  <si>
    <t>Policy Appears in Policies List</t>
  </si>
  <si>
    <t>Policy visible on /policies</t>
  </si>
  <si>
    <t>1. Go to /policies</t>
  </si>
  <si>
    <t>All purchased policies shown with correct details</t>
  </si>
  <si>
    <t>TC036</t>
  </si>
  <si>
    <t>Multiple Policies</t>
  </si>
  <si>
    <t>Purchase 2 policies</t>
  </si>
  <si>
    <t>1. Get quote and purchase
2. Get another quote and purchase
3. Check /policies</t>
  </si>
  <si>
    <t>Both policies shown in list</t>
  </si>
  <si>
    <t>TC037</t>
  </si>
  <si>
    <t>Policy Details Accuracy</t>
  </si>
  <si>
    <t>Verify policy data is correct</t>
  </si>
  <si>
    <t>1. Purchase policy: Auto, $50k, 30y/o
2. View policy in list</t>
  </si>
  <si>
    <t>Policy type, coverage, premium, dates all match input</t>
  </si>
  <si>
    <t>TC038</t>
  </si>
  <si>
    <t>Unauthorized Quote Access</t>
  </si>
  <si>
    <t>Access another user's quote</t>
  </si>
  <si>
    <t>Two accounts created</t>
  </si>
  <si>
    <t>1. Get quote as User A
2. Login as User B
3. Try /purchase/&lt;User A's quote_id&gt;</t>
  </si>
  <si>
    <t>Error: Unauthorized, redirected</t>
  </si>
  <si>
    <t>TC039</t>
  </si>
  <si>
    <t>Claims</t>
  </si>
  <si>
    <t>Submit Valid Claim</t>
  </si>
  <si>
    <t>Submit claim against active policy</t>
  </si>
  <si>
    <t>Active policy exists</t>
  </si>
  <si>
    <t>1. Go to /claims
2. Select policy
3. Enter amount within coverage
4. Enter 10+ char reason
5. Submit</t>
  </si>
  <si>
    <t>Claim submitted, redirected to tracking, success message</t>
  </si>
  <si>
    <t>TC040</t>
  </si>
  <si>
    <t>Claim Amount Exceeds Coverage</t>
  </si>
  <si>
    <t>Claim more than coverage limit</t>
  </si>
  <si>
    <t>Active policy with $50k coverage</t>
  </si>
  <si>
    <t>1. Select policy
2. Enter amount: 60000
3. Submit</t>
  </si>
  <si>
    <t>Error: 'Claim amount cannot exceed coverage amount'</t>
  </si>
  <si>
    <t>TC041</t>
  </si>
  <si>
    <t>Claim Amount = Coverage</t>
  </si>
  <si>
    <t>Claim exactly the coverage amount</t>
  </si>
  <si>
    <t>Active policy</t>
  </si>
  <si>
    <t>1. Enter claim = exact coverage
2. Submit</t>
  </si>
  <si>
    <t>Claim accepted (boundary value)</t>
  </si>
  <si>
    <t>TC042</t>
  </si>
  <si>
    <t>Zero Claim Amount</t>
  </si>
  <si>
    <t>Enter claim amount of 0</t>
  </si>
  <si>
    <t>1. Enter amount: 0
2. Submit</t>
  </si>
  <si>
    <t>Error: 'Claim amount must be greater than 0'</t>
  </si>
  <si>
    <t>TC043</t>
  </si>
  <si>
    <t>Negative Claim Amount</t>
  </si>
  <si>
    <t>Enter negative claim amount</t>
  </si>
  <si>
    <t>1. Enter amount: -500
2. Submit</t>
  </si>
  <si>
    <t>TC044</t>
  </si>
  <si>
    <t>Short Reason</t>
  </si>
  <si>
    <t>Reason under 10 characters</t>
  </si>
  <si>
    <t>1. Enter reason: 'car hit'
2. Submit</t>
  </si>
  <si>
    <t>Error: 'Please provide more detail (at least 10 characters)'</t>
  </si>
  <si>
    <t>TC045</t>
  </si>
  <si>
    <t>Empty Reason</t>
  </si>
  <si>
    <t>Leave reason blank</t>
  </si>
  <si>
    <t>1. Leave reason field empty
2. Submit</t>
  </si>
  <si>
    <t>Validation error: reason required</t>
  </si>
  <si>
    <t>TC046</t>
  </si>
  <si>
    <t>No Active Policy</t>
  </si>
  <si>
    <t>Submit claim with no policies</t>
  </si>
  <si>
    <t>Customer with no policies</t>
  </si>
  <si>
    <t>1. Go to /claims</t>
  </si>
  <si>
    <t>No policy dropdown shown, message to get a policy displayed</t>
  </si>
  <si>
    <t>TC047</t>
  </si>
  <si>
    <t>Claim Visible in Tracking</t>
  </si>
  <si>
    <t>Submitted claim appears in tracking</t>
  </si>
  <si>
    <t>Claim submitted</t>
  </si>
  <si>
    <t>1. Submit a claim
2. Go to /claim-tracking</t>
  </si>
  <si>
    <t>Claim visible with Pending status</t>
  </si>
  <si>
    <t>TC048</t>
  </si>
  <si>
    <t>Multiple Claims</t>
  </si>
  <si>
    <t>Submit 2 claims on same policy</t>
  </si>
  <si>
    <t>1. Submit claim 1
2. Submit claim 2
3. Check tracking</t>
  </si>
  <si>
    <t>Both claims shown in tracking list</t>
  </si>
  <si>
    <t>TC049</t>
  </si>
  <si>
    <t>Claim on Inactive Policy</t>
  </si>
  <si>
    <t>Claim against non-active policy</t>
  </si>
  <si>
    <t>Cancelled/expired policy</t>
  </si>
  <si>
    <t>1. Only active policies should appear in dropdown</t>
  </si>
  <si>
    <t>Cancelled/expired policies not selectable</t>
  </si>
  <si>
    <t>TC050</t>
  </si>
  <si>
    <t>Claim Status Default</t>
  </si>
  <si>
    <t>New claim status is Pending</t>
  </si>
  <si>
    <t>1. Submit a claim
2. Check status in tracking</t>
  </si>
  <si>
    <t>Status shows 'Pending'</t>
  </si>
  <si>
    <t>TC051</t>
  </si>
  <si>
    <t>Admin</t>
  </si>
  <si>
    <t>Admin Dashboard Loads</t>
  </si>
  <si>
    <t>Admin dashboard accessible</t>
  </si>
  <si>
    <t>Logged in as admin</t>
  </si>
  <si>
    <t>1. Login as admin
2. Go to /admin</t>
  </si>
  <si>
    <t>Dashboard loads with stats: customers, policies, claims counts</t>
  </si>
  <si>
    <t>TC052</t>
  </si>
  <si>
    <t>Customer List</t>
  </si>
  <si>
    <t>Admin can view all customers</t>
  </si>
  <si>
    <t>1. Go to /admin/customers</t>
  </si>
  <si>
    <t>All registered non-admin customers listed</t>
  </si>
  <si>
    <t>TC053</t>
  </si>
  <si>
    <t>Claims List</t>
  </si>
  <si>
    <t>Admin can view all claims</t>
  </si>
  <si>
    <t>1. Go to /admin/claims</t>
  </si>
  <si>
    <t>All claims shown with status, amount, policy ID</t>
  </si>
  <si>
    <t>TC054</t>
  </si>
  <si>
    <t>Approve Claim</t>
  </si>
  <si>
    <t>Admin approves a pending claim</t>
  </si>
  <si>
    <t>Pending claim exists</t>
  </si>
  <si>
    <t>1. Go to /admin/claims
2. Click Approve on pending claim</t>
  </si>
  <si>
    <t>Claim status changes to 'Approved'</t>
  </si>
  <si>
    <t>TC055</t>
  </si>
  <si>
    <t>Reject Claim</t>
  </si>
  <si>
    <t>Admin rejects a pending claim</t>
  </si>
  <si>
    <t>1. Go to /admin/claims
2. Click Reject on pending claim</t>
  </si>
  <si>
    <t>Claim status changes to 'Rejected'</t>
  </si>
  <si>
    <t>TC056</t>
  </si>
  <si>
    <t>Approved Claim in Customer View</t>
  </si>
  <si>
    <t>Approved status visible to customer</t>
  </si>
  <si>
    <t>Claim approved by admin</t>
  </si>
  <si>
    <t>1. Admin approves claim
2. Login as customer
3. Check /claim-tracking</t>
  </si>
  <si>
    <t>Status shows 'Approved'</t>
  </si>
  <si>
    <t>TC057</t>
  </si>
  <si>
    <t>Rejected Claim in Customer View</t>
  </si>
  <si>
    <t>Rejected status visible to customer</t>
  </si>
  <si>
    <t>Claim rejected by admin</t>
  </si>
  <si>
    <t>1. Admin rejects claim
2. Login as customer
3. Check /claim-tracking</t>
  </si>
  <si>
    <t>Status shows 'Rejected'</t>
  </si>
  <si>
    <t>TC058</t>
  </si>
  <si>
    <t>Non-Admin Access to Admin Panel</t>
  </si>
  <si>
    <t>Customer tries to access /admin</t>
  </si>
  <si>
    <t>1. Login as customer
2. Navigate to /admin</t>
  </si>
  <si>
    <t>Access denied, redirected with error message</t>
  </si>
  <si>
    <t>TC059</t>
  </si>
  <si>
    <t>Admin Stats Accuracy</t>
  </si>
  <si>
    <t>Dashboard counts are correct</t>
  </si>
  <si>
    <t>Multiple customers/policies/claims exist</t>
  </si>
  <si>
    <t>1. Count customers, policies, pending claims
2. Compare to admin dashboard numbers</t>
  </si>
  <si>
    <t>All counts match actual database records</t>
  </si>
  <si>
    <t>TC060</t>
  </si>
  <si>
    <t>Approve/Reject Only Pending</t>
  </si>
  <si>
    <t>Approve/Reject buttons only on pending</t>
  </si>
  <si>
    <t>Mix of pending and resolved claims</t>
  </si>
  <si>
    <t>1. Go to /admin/claims
2. Check claims already approved/rejected</t>
  </si>
  <si>
    <t>No action buttons on non-pending claims</t>
  </si>
  <si>
    <t>Req ID</t>
  </si>
  <si>
    <t>Requirement</t>
  </si>
  <si>
    <t>TC ID(s)</t>
  </si>
  <si>
    <t>REQ-001</t>
  </si>
  <si>
    <t>User can register a new account</t>
  </si>
  <si>
    <t>TC001, TC002, TC003, TC004, TC005, TC006</t>
  </si>
  <si>
    <t>Registration – Full Suite</t>
  </si>
  <si>
    <t>Covered</t>
  </si>
  <si>
    <t>REQ-002</t>
  </si>
  <si>
    <t>Email must be unique per account</t>
  </si>
  <si>
    <t>Duplicate Email Registration</t>
  </si>
  <si>
    <t>REQ-003</t>
  </si>
  <si>
    <t>Password must be at least 8 characters</t>
  </si>
  <si>
    <t>Short Password Validation</t>
  </si>
  <si>
    <t>REQ-004</t>
  </si>
  <si>
    <t>User can login with valid credentials</t>
  </si>
  <si>
    <t>TC011, TC012, TC013</t>
  </si>
  <si>
    <t>Login – Positive &amp; Negative</t>
  </si>
  <si>
    <t>REQ-005</t>
  </si>
  <si>
    <t>Admin can login via same login page</t>
  </si>
  <si>
    <t>REQ-006</t>
  </si>
  <si>
    <t>Session must be cleared on logout</t>
  </si>
  <si>
    <t>Logout Ends Session</t>
  </si>
  <si>
    <t>REQ-007</t>
  </si>
  <si>
    <t>Unauthenticated users redirected to login</t>
  </si>
  <si>
    <t>Direct URL Access Without Login</t>
  </si>
  <si>
    <t>REQ-008</t>
  </si>
  <si>
    <t>Customer can generate an insurance quote</t>
  </si>
  <si>
    <t>TC021, TC022, TC023, TC024</t>
  </si>
  <si>
    <t>Quote Generation – All Types</t>
  </si>
  <si>
    <t>REQ-009</t>
  </si>
  <si>
    <t>Age must be between 18 and 100</t>
  </si>
  <si>
    <t>TC025, TC026</t>
  </si>
  <si>
    <t>Age Boundary Tests</t>
  </si>
  <si>
    <t>REQ-010</t>
  </si>
  <si>
    <t>Coverage amount must be greater than 0</t>
  </si>
  <si>
    <t>TC027, TC028</t>
  </si>
  <si>
    <t>Coverage Amount Validation</t>
  </si>
  <si>
    <t>REQ-011</t>
  </si>
  <si>
    <t>Premium calculated by correct formula</t>
  </si>
  <si>
    <t>REQ-012</t>
  </si>
  <si>
    <t>Customer can purchase policy from quote</t>
  </si>
  <si>
    <t>TC031, TC032, TC033</t>
  </si>
  <si>
    <t>Policy Purchase Flow</t>
  </si>
  <si>
    <t>REQ-013</t>
  </si>
  <si>
    <t>Policy appears in dashboard and list</t>
  </si>
  <si>
    <t>TC034, TC035</t>
  </si>
  <si>
    <t>Policy Visibility</t>
  </si>
  <si>
    <t>REQ-014</t>
  </si>
  <si>
    <t>Customer can submit a claim</t>
  </si>
  <si>
    <t>TC039, TC040, TC041, TC042</t>
  </si>
  <si>
    <t>Claim Submission – Full Suite</t>
  </si>
  <si>
    <t>REQ-015</t>
  </si>
  <si>
    <t>Claim cannot exceed policy coverage</t>
  </si>
  <si>
    <t>TC040, TC041</t>
  </si>
  <si>
    <t>Claim Amount Boundary</t>
  </si>
  <si>
    <t>REQ-016</t>
  </si>
  <si>
    <t>Claim reason must be at least 10 chars</t>
  </si>
  <si>
    <t>TC044, TC045</t>
  </si>
  <si>
    <t>Claim Reason Validation</t>
  </si>
  <si>
    <t>REQ-017</t>
  </si>
  <si>
    <t>Submitted claim status defaults to Pending</t>
  </si>
  <si>
    <t>Claim Default Status</t>
  </si>
  <si>
    <t>REQ-018</t>
  </si>
  <si>
    <t>Customer can track claim status</t>
  </si>
  <si>
    <t>TC047, TC048</t>
  </si>
  <si>
    <t>Claim Tracking</t>
  </si>
  <si>
    <t>REQ-019</t>
  </si>
  <si>
    <t>Admin Customer Management</t>
  </si>
  <si>
    <t>REQ-020</t>
  </si>
  <si>
    <t>Admin Claims Management</t>
  </si>
  <si>
    <t>REQ-021</t>
  </si>
  <si>
    <t>Admin can approve pending claims</t>
  </si>
  <si>
    <t>TC054, TC056</t>
  </si>
  <si>
    <t>Claim Approval Flow</t>
  </si>
  <si>
    <t>REQ-022</t>
  </si>
  <si>
    <t>Admin can reject pending claims</t>
  </si>
  <si>
    <t>TC055, TC057</t>
  </si>
  <si>
    <t>Claim Rejection Flow</t>
  </si>
  <si>
    <t>REQ-023</t>
  </si>
  <si>
    <t>Non-admin cannot access admin panel</t>
  </si>
  <si>
    <t>Admin Access Control</t>
  </si>
  <si>
    <t>REQ-024</t>
  </si>
  <si>
    <t>Admin dashboard shows correct stats</t>
  </si>
  <si>
    <t>TC051, TC059</t>
  </si>
  <si>
    <t>Admin Dashboard Counts</t>
  </si>
  <si>
    <t>Test Execution Summary</t>
  </si>
  <si>
    <t>Total Test Cases</t>
  </si>
  <si>
    <t>Blocked</t>
  </si>
  <si>
    <t>Pass Rate</t>
  </si>
  <si>
    <t>TC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</si>
</sst>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22"/>
      <color rgb="FF1A3C5E"/>
      <name val="Arial"/>
      <charset val="1"/>
    </font>
    <font>
      <sz val="13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375623"/>
      <name val="Arial"/>
      <charset val="1"/>
    </font>
    <font>
      <b/>
      <sz val="18"/>
      <color rgb="FF1A3C5E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D5E8F0"/>
        <bgColor rgb="FFEDEDED"/>
      </patternFill>
    </fill>
    <fill>
      <patternFill patternType="solid">
        <fgColor rgb="FFF7FAFD"/>
        <bgColor rgb="FFFFFFFF"/>
      </patternFill>
    </fill>
    <fill>
      <patternFill patternType="solid">
        <fgColor rgb="FFFFC7CE"/>
        <bgColor rgb="FFCCCCCC"/>
      </patternFill>
    </fill>
    <fill>
      <patternFill patternType="solid">
        <fgColor rgb="FFEDEDED"/>
        <bgColor rgb="FFF7FAFD"/>
      </patternFill>
    </fill>
    <fill>
      <patternFill patternType="solid">
        <fgColor rgb="FFFFFFFF"/>
        <bgColor rgb="FFF7FAFD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5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AFD"/>
      <rgbColor rgb="FFD5E8F0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8C00"/>
      <rgbColor rgb="FFFF6600"/>
      <rgbColor rgb="FF555555"/>
      <rgbColor rgb="FF969696"/>
      <rgbColor rgb="FF1A3C5E"/>
      <rgbColor rgb="FF00B050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5E"/>
  </sheetPr>
  <dimension ref="B2:G14"/>
  <sheetViews>
    <sheetView showGridLines="0" topLeftCell="A8" zoomScaleNormal="100" workbookViewId="0"/>
  </sheetViews>
  <sheetFormatPr defaultColWidth="8.6640625" defaultRowHeight="14.4" x14ac:dyDescent="0.3"/>
  <cols>
    <col min="2" max="2" width="18" customWidth="1"/>
    <col min="3" max="3" width="38" customWidth="1"/>
  </cols>
  <sheetData>
    <row r="2" spans="2:7" ht="36" customHeight="1" x14ac:dyDescent="0.3">
      <c r="B2" s="3" t="s">
        <v>0</v>
      </c>
      <c r="C2" s="3"/>
      <c r="D2" s="3"/>
      <c r="E2" s="3"/>
      <c r="F2" s="3"/>
      <c r="G2" s="3"/>
    </row>
    <row r="3" spans="2:7" ht="21.75" customHeight="1" x14ac:dyDescent="0.3">
      <c r="B3" s="2" t="s">
        <v>1</v>
      </c>
      <c r="C3" s="2"/>
      <c r="D3" s="2"/>
      <c r="E3" s="2"/>
      <c r="F3" s="2"/>
      <c r="G3" s="2"/>
    </row>
    <row r="6" spans="2:7" x14ac:dyDescent="0.3">
      <c r="B6" s="4" t="s">
        <v>2</v>
      </c>
      <c r="C6" s="5" t="s">
        <v>3</v>
      </c>
    </row>
    <row r="7" spans="2:7" x14ac:dyDescent="0.3">
      <c r="B7" s="4" t="s">
        <v>4</v>
      </c>
      <c r="C7" s="5" t="s">
        <v>5</v>
      </c>
    </row>
    <row r="8" spans="2:7" x14ac:dyDescent="0.3">
      <c r="B8" s="4" t="s">
        <v>6</v>
      </c>
      <c r="C8" s="5" t="s">
        <v>7</v>
      </c>
    </row>
    <row r="9" spans="2:7" x14ac:dyDescent="0.3">
      <c r="B9" s="4" t="s">
        <v>8</v>
      </c>
      <c r="C9" s="5" t="s">
        <v>9</v>
      </c>
    </row>
    <row r="10" spans="2:7" x14ac:dyDescent="0.3">
      <c r="B10" s="4" t="s">
        <v>10</v>
      </c>
      <c r="C10" s="5" t="s">
        <v>11</v>
      </c>
    </row>
    <row r="11" spans="2:7" x14ac:dyDescent="0.3">
      <c r="B11" s="4" t="s">
        <v>12</v>
      </c>
      <c r="C11" s="5">
        <f>COUNTA('Test Cases'!A:A)-1</f>
        <v>60</v>
      </c>
    </row>
    <row r="12" spans="2:7" x14ac:dyDescent="0.3">
      <c r="B12" s="4" t="s">
        <v>13</v>
      </c>
      <c r="C12" s="5">
        <f>COUNTIF('Test Cases'!L:L,"Pass")</f>
        <v>59</v>
      </c>
    </row>
    <row r="13" spans="2:7" x14ac:dyDescent="0.3">
      <c r="B13" s="4" t="s">
        <v>14</v>
      </c>
      <c r="C13" s="5">
        <f>COUNTIF('Test Cases'!L:L,"Fail")</f>
        <v>1</v>
      </c>
    </row>
    <row r="14" spans="2:7" x14ac:dyDescent="0.3">
      <c r="B14" s="4" t="s">
        <v>15</v>
      </c>
      <c r="C14" s="5">
        <f>COUNTIF('Test Cases'!L:L,"Not Run")</f>
        <v>0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61"/>
  <sheetViews>
    <sheetView showGridLines="0" tabSelected="1" topLeftCell="C1" zoomScaleNormal="100" workbookViewId="0">
      <pane ySplit="1" topLeftCell="A49" activePane="bottomLeft" state="frozen"/>
      <selection pane="bottomLeft" activeCell="G62" sqref="G62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6" customWidth="1"/>
    <col min="4" max="4" width="32" customWidth="1"/>
    <col min="5" max="5" width="28" customWidth="1"/>
    <col min="6" max="6" width="42" customWidth="1"/>
    <col min="7" max="7" width="36" customWidth="1"/>
    <col min="8" max="8" width="14" customWidth="1"/>
    <col min="9" max="10" width="10" customWidth="1"/>
    <col min="11" max="11" width="12" customWidth="1"/>
    <col min="12" max="12" width="10" customWidth="1"/>
  </cols>
  <sheetData>
    <row r="1" spans="1:12" ht="30" customHeight="1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 spans="1:12" ht="60" customHeight="1" x14ac:dyDescent="0.3">
      <c r="A2" s="6" t="s">
        <v>28</v>
      </c>
      <c r="B2" s="6" t="s">
        <v>29</v>
      </c>
      <c r="C2" s="6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8" t="s">
        <v>36</v>
      </c>
      <c r="J2" s="7" t="s">
        <v>37</v>
      </c>
      <c r="K2" s="7" t="s">
        <v>38</v>
      </c>
      <c r="L2" s="9" t="s">
        <v>13</v>
      </c>
    </row>
    <row r="3" spans="1:12" ht="60" customHeight="1" x14ac:dyDescent="0.3">
      <c r="A3" s="10" t="s">
        <v>39</v>
      </c>
      <c r="B3" s="10" t="s">
        <v>29</v>
      </c>
      <c r="C3" s="10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  <c r="I3" s="8" t="s">
        <v>36</v>
      </c>
      <c r="J3" s="11" t="s">
        <v>46</v>
      </c>
      <c r="K3" s="11" t="s">
        <v>38</v>
      </c>
      <c r="L3" s="9" t="s">
        <v>13</v>
      </c>
    </row>
    <row r="4" spans="1:12" ht="60" customHeight="1" x14ac:dyDescent="0.3">
      <c r="A4" s="6" t="s">
        <v>47</v>
      </c>
      <c r="B4" s="6" t="s">
        <v>29</v>
      </c>
      <c r="C4" s="6" t="s">
        <v>48</v>
      </c>
      <c r="D4" s="7" t="s">
        <v>49</v>
      </c>
      <c r="E4" s="7" t="s">
        <v>50</v>
      </c>
      <c r="F4" s="7" t="s">
        <v>51</v>
      </c>
      <c r="G4" s="7" t="s">
        <v>52</v>
      </c>
      <c r="H4" s="7" t="s">
        <v>45</v>
      </c>
      <c r="I4" s="8" t="s">
        <v>36</v>
      </c>
      <c r="J4" s="7" t="s">
        <v>46</v>
      </c>
      <c r="K4" s="7" t="s">
        <v>38</v>
      </c>
      <c r="L4" s="9" t="s">
        <v>13</v>
      </c>
    </row>
    <row r="5" spans="1:12" ht="60" customHeight="1" x14ac:dyDescent="0.3">
      <c r="A5" s="10" t="s">
        <v>53</v>
      </c>
      <c r="B5" s="10" t="s">
        <v>29</v>
      </c>
      <c r="C5" s="10" t="s">
        <v>54</v>
      </c>
      <c r="D5" s="11" t="s">
        <v>55</v>
      </c>
      <c r="E5" s="11" t="s">
        <v>50</v>
      </c>
      <c r="F5" s="11" t="s">
        <v>56</v>
      </c>
      <c r="G5" s="11" t="s">
        <v>57</v>
      </c>
      <c r="H5" s="11" t="s">
        <v>45</v>
      </c>
      <c r="I5" s="8" t="s">
        <v>36</v>
      </c>
      <c r="J5" s="11" t="s">
        <v>46</v>
      </c>
      <c r="K5" s="11" t="s">
        <v>38</v>
      </c>
      <c r="L5" s="9" t="s">
        <v>13</v>
      </c>
    </row>
    <row r="6" spans="1:12" ht="60" customHeight="1" x14ac:dyDescent="0.3">
      <c r="A6" s="6" t="s">
        <v>58</v>
      </c>
      <c r="B6" s="6" t="s">
        <v>29</v>
      </c>
      <c r="C6" s="6" t="s">
        <v>59</v>
      </c>
      <c r="D6" s="7" t="s">
        <v>60</v>
      </c>
      <c r="E6" s="7" t="s">
        <v>50</v>
      </c>
      <c r="F6" s="7" t="s">
        <v>61</v>
      </c>
      <c r="G6" s="7" t="s">
        <v>62</v>
      </c>
      <c r="H6" s="7" t="s">
        <v>63</v>
      </c>
      <c r="I6" s="12" t="s">
        <v>64</v>
      </c>
      <c r="J6" s="7" t="s">
        <v>46</v>
      </c>
      <c r="K6" s="7" t="s">
        <v>65</v>
      </c>
      <c r="L6" s="9" t="s">
        <v>13</v>
      </c>
    </row>
    <row r="7" spans="1:12" ht="60" customHeight="1" x14ac:dyDescent="0.3">
      <c r="A7" s="10" t="s">
        <v>66</v>
      </c>
      <c r="B7" s="10" t="s">
        <v>29</v>
      </c>
      <c r="C7" s="10" t="s">
        <v>67</v>
      </c>
      <c r="D7" s="11" t="s">
        <v>68</v>
      </c>
      <c r="E7" s="11" t="s">
        <v>50</v>
      </c>
      <c r="F7" s="11" t="s">
        <v>69</v>
      </c>
      <c r="G7" s="11" t="s">
        <v>70</v>
      </c>
      <c r="H7" s="11" t="s">
        <v>45</v>
      </c>
      <c r="I7" s="12" t="s">
        <v>64</v>
      </c>
      <c r="J7" s="11" t="s">
        <v>71</v>
      </c>
      <c r="K7" s="11" t="s">
        <v>65</v>
      </c>
      <c r="L7" s="9" t="s">
        <v>13</v>
      </c>
    </row>
    <row r="8" spans="1:12" ht="60" customHeight="1" x14ac:dyDescent="0.3">
      <c r="A8" s="6" t="s">
        <v>72</v>
      </c>
      <c r="B8" s="6" t="s">
        <v>29</v>
      </c>
      <c r="C8" s="6" t="s">
        <v>73</v>
      </c>
      <c r="D8" s="7" t="s">
        <v>74</v>
      </c>
      <c r="E8" s="7" t="s">
        <v>50</v>
      </c>
      <c r="F8" s="7" t="s">
        <v>75</v>
      </c>
      <c r="G8" s="7" t="s">
        <v>76</v>
      </c>
      <c r="H8" s="7" t="s">
        <v>45</v>
      </c>
      <c r="I8" s="12" t="s">
        <v>64</v>
      </c>
      <c r="J8" s="7" t="s">
        <v>46</v>
      </c>
      <c r="K8" s="7" t="s">
        <v>65</v>
      </c>
      <c r="L8" s="9" t="s">
        <v>13</v>
      </c>
    </row>
    <row r="9" spans="1:12" ht="60" customHeight="1" x14ac:dyDescent="0.3">
      <c r="A9" s="10" t="s">
        <v>77</v>
      </c>
      <c r="B9" s="10" t="s">
        <v>29</v>
      </c>
      <c r="C9" s="10" t="s">
        <v>78</v>
      </c>
      <c r="D9" s="11" t="s">
        <v>79</v>
      </c>
      <c r="E9" s="11" t="s">
        <v>50</v>
      </c>
      <c r="F9" s="11" t="s">
        <v>80</v>
      </c>
      <c r="G9" s="11" t="s">
        <v>81</v>
      </c>
      <c r="H9" s="11" t="s">
        <v>45</v>
      </c>
      <c r="I9" s="12" t="s">
        <v>64</v>
      </c>
      <c r="J9" s="11" t="s">
        <v>46</v>
      </c>
      <c r="K9" s="11" t="s">
        <v>65</v>
      </c>
      <c r="L9" s="9" t="s">
        <v>13</v>
      </c>
    </row>
    <row r="10" spans="1:12" ht="60" customHeight="1" x14ac:dyDescent="0.3">
      <c r="A10" s="6" t="s">
        <v>82</v>
      </c>
      <c r="B10" s="6" t="s">
        <v>29</v>
      </c>
      <c r="C10" s="6" t="s">
        <v>83</v>
      </c>
      <c r="D10" s="7" t="s">
        <v>84</v>
      </c>
      <c r="E10" s="7" t="s">
        <v>50</v>
      </c>
      <c r="F10" s="7" t="s">
        <v>85</v>
      </c>
      <c r="G10" s="7" t="s">
        <v>86</v>
      </c>
      <c r="H10" s="7" t="s">
        <v>35</v>
      </c>
      <c r="I10" s="13" t="s">
        <v>87</v>
      </c>
      <c r="J10" s="7" t="s">
        <v>71</v>
      </c>
      <c r="K10" s="7" t="s">
        <v>65</v>
      </c>
      <c r="L10" s="9" t="s">
        <v>13</v>
      </c>
    </row>
    <row r="11" spans="1:12" ht="60" customHeight="1" x14ac:dyDescent="0.3">
      <c r="A11" s="10" t="s">
        <v>88</v>
      </c>
      <c r="B11" s="10" t="s">
        <v>29</v>
      </c>
      <c r="C11" s="10" t="s">
        <v>89</v>
      </c>
      <c r="D11" s="11" t="s">
        <v>90</v>
      </c>
      <c r="E11" s="11" t="s">
        <v>50</v>
      </c>
      <c r="F11" s="11" t="s">
        <v>91</v>
      </c>
      <c r="G11" s="11" t="s">
        <v>92</v>
      </c>
      <c r="H11" s="11" t="s">
        <v>63</v>
      </c>
      <c r="I11" s="13" t="s">
        <v>87</v>
      </c>
      <c r="J11" s="11" t="s">
        <v>71</v>
      </c>
      <c r="K11" s="11" t="s">
        <v>65</v>
      </c>
      <c r="L11" s="9" t="s">
        <v>13</v>
      </c>
    </row>
    <row r="12" spans="1:12" ht="60" customHeight="1" x14ac:dyDescent="0.3">
      <c r="A12" s="6" t="s">
        <v>93</v>
      </c>
      <c r="B12" s="6" t="s">
        <v>94</v>
      </c>
      <c r="C12" s="6" t="s">
        <v>95</v>
      </c>
      <c r="D12" s="7" t="s">
        <v>96</v>
      </c>
      <c r="E12" s="7" t="s">
        <v>97</v>
      </c>
      <c r="F12" s="7" t="s">
        <v>98</v>
      </c>
      <c r="G12" s="7" t="s">
        <v>99</v>
      </c>
      <c r="H12" s="7" t="s">
        <v>35</v>
      </c>
      <c r="I12" s="8" t="s">
        <v>36</v>
      </c>
      <c r="J12" s="7" t="s">
        <v>37</v>
      </c>
      <c r="K12" s="7" t="s">
        <v>38</v>
      </c>
      <c r="L12" s="9" t="s">
        <v>13</v>
      </c>
    </row>
    <row r="13" spans="1:12" ht="60" customHeight="1" x14ac:dyDescent="0.3">
      <c r="A13" s="10" t="s">
        <v>100</v>
      </c>
      <c r="B13" s="10" t="s">
        <v>94</v>
      </c>
      <c r="C13" s="10" t="s">
        <v>101</v>
      </c>
      <c r="D13" s="11" t="s">
        <v>102</v>
      </c>
      <c r="E13" s="11" t="s">
        <v>97</v>
      </c>
      <c r="F13" s="11" t="s">
        <v>103</v>
      </c>
      <c r="G13" s="11" t="s">
        <v>104</v>
      </c>
      <c r="H13" s="11" t="s">
        <v>45</v>
      </c>
      <c r="I13" s="8" t="s">
        <v>36</v>
      </c>
      <c r="J13" s="11" t="s">
        <v>37</v>
      </c>
      <c r="K13" s="11" t="s">
        <v>38</v>
      </c>
      <c r="L13" s="9" t="s">
        <v>13</v>
      </c>
    </row>
    <row r="14" spans="1:12" ht="60" customHeight="1" x14ac:dyDescent="0.3">
      <c r="A14" s="6" t="s">
        <v>105</v>
      </c>
      <c r="B14" s="6" t="s">
        <v>94</v>
      </c>
      <c r="C14" s="6" t="s">
        <v>106</v>
      </c>
      <c r="D14" s="7" t="s">
        <v>107</v>
      </c>
      <c r="E14" s="7" t="s">
        <v>50</v>
      </c>
      <c r="F14" s="7" t="s">
        <v>108</v>
      </c>
      <c r="G14" s="7" t="s">
        <v>104</v>
      </c>
      <c r="H14" s="7" t="s">
        <v>45</v>
      </c>
      <c r="I14" s="8" t="s">
        <v>36</v>
      </c>
      <c r="J14" s="7" t="s">
        <v>37</v>
      </c>
      <c r="K14" s="7" t="s">
        <v>65</v>
      </c>
      <c r="L14" s="9" t="s">
        <v>13</v>
      </c>
    </row>
    <row r="15" spans="1:12" ht="60" customHeight="1" x14ac:dyDescent="0.3">
      <c r="A15" s="10" t="s">
        <v>109</v>
      </c>
      <c r="B15" s="10" t="s">
        <v>94</v>
      </c>
      <c r="C15" s="10" t="s">
        <v>110</v>
      </c>
      <c r="D15" s="11" t="s">
        <v>111</v>
      </c>
      <c r="E15" s="11" t="s">
        <v>50</v>
      </c>
      <c r="F15" s="11" t="s">
        <v>112</v>
      </c>
      <c r="G15" s="11" t="s">
        <v>113</v>
      </c>
      <c r="H15" s="11" t="s">
        <v>45</v>
      </c>
      <c r="I15" s="8" t="s">
        <v>36</v>
      </c>
      <c r="J15" s="11" t="s">
        <v>46</v>
      </c>
      <c r="K15" s="11" t="s">
        <v>38</v>
      </c>
      <c r="L15" s="9" t="s">
        <v>13</v>
      </c>
    </row>
    <row r="16" spans="1:12" ht="60" customHeight="1" x14ac:dyDescent="0.3">
      <c r="A16" s="6" t="s">
        <v>114</v>
      </c>
      <c r="B16" s="6" t="s">
        <v>94</v>
      </c>
      <c r="C16" s="6" t="s">
        <v>115</v>
      </c>
      <c r="D16" s="7" t="s">
        <v>116</v>
      </c>
      <c r="E16" s="7" t="s">
        <v>50</v>
      </c>
      <c r="F16" s="7" t="s">
        <v>117</v>
      </c>
      <c r="G16" s="7" t="s">
        <v>118</v>
      </c>
      <c r="H16" s="7" t="s">
        <v>45</v>
      </c>
      <c r="I16" s="8" t="s">
        <v>36</v>
      </c>
      <c r="J16" s="7" t="s">
        <v>46</v>
      </c>
      <c r="K16" s="7" t="s">
        <v>38</v>
      </c>
      <c r="L16" s="9" t="s">
        <v>13</v>
      </c>
    </row>
    <row r="17" spans="1:12" ht="60" customHeight="1" x14ac:dyDescent="0.3">
      <c r="A17" s="10" t="s">
        <v>119</v>
      </c>
      <c r="B17" s="10" t="s">
        <v>94</v>
      </c>
      <c r="C17" s="10" t="s">
        <v>120</v>
      </c>
      <c r="D17" s="11" t="s">
        <v>121</v>
      </c>
      <c r="E17" s="11" t="s">
        <v>122</v>
      </c>
      <c r="F17" s="11" t="s">
        <v>123</v>
      </c>
      <c r="G17" s="11" t="s">
        <v>124</v>
      </c>
      <c r="H17" s="11" t="s">
        <v>35</v>
      </c>
      <c r="I17" s="8" t="s">
        <v>36</v>
      </c>
      <c r="J17" s="11" t="s">
        <v>37</v>
      </c>
      <c r="K17" s="11" t="s">
        <v>38</v>
      </c>
      <c r="L17" s="9" t="s">
        <v>13</v>
      </c>
    </row>
    <row r="18" spans="1:12" ht="60" customHeight="1" x14ac:dyDescent="0.3">
      <c r="A18" s="6" t="s">
        <v>125</v>
      </c>
      <c r="B18" s="6" t="s">
        <v>94</v>
      </c>
      <c r="C18" s="6" t="s">
        <v>126</v>
      </c>
      <c r="D18" s="7" t="s">
        <v>127</v>
      </c>
      <c r="E18" s="7" t="s">
        <v>128</v>
      </c>
      <c r="F18" s="7" t="s">
        <v>129</v>
      </c>
      <c r="G18" s="7" t="s">
        <v>130</v>
      </c>
      <c r="H18" s="7" t="s">
        <v>35</v>
      </c>
      <c r="I18" s="12" t="s">
        <v>64</v>
      </c>
      <c r="J18" s="7" t="s">
        <v>46</v>
      </c>
      <c r="K18" s="7" t="s">
        <v>65</v>
      </c>
      <c r="L18" s="9" t="s">
        <v>13</v>
      </c>
    </row>
    <row r="19" spans="1:12" ht="60" customHeight="1" x14ac:dyDescent="0.3">
      <c r="A19" s="10" t="s">
        <v>131</v>
      </c>
      <c r="B19" s="10" t="s">
        <v>94</v>
      </c>
      <c r="C19" s="10" t="s">
        <v>132</v>
      </c>
      <c r="D19" s="11" t="s">
        <v>133</v>
      </c>
      <c r="E19" s="11" t="s">
        <v>134</v>
      </c>
      <c r="F19" s="11" t="s">
        <v>135</v>
      </c>
      <c r="G19" s="11" t="s">
        <v>136</v>
      </c>
      <c r="H19" s="11" t="s">
        <v>35</v>
      </c>
      <c r="I19" s="8" t="s">
        <v>36</v>
      </c>
      <c r="J19" s="11" t="s">
        <v>46</v>
      </c>
      <c r="K19" s="11" t="s">
        <v>38</v>
      </c>
      <c r="L19" s="9" t="s">
        <v>13</v>
      </c>
    </row>
    <row r="20" spans="1:12" ht="60" customHeight="1" x14ac:dyDescent="0.3">
      <c r="A20" s="6" t="s">
        <v>137</v>
      </c>
      <c r="B20" s="6" t="s">
        <v>94</v>
      </c>
      <c r="C20" s="6" t="s">
        <v>138</v>
      </c>
      <c r="D20" s="7" t="s">
        <v>139</v>
      </c>
      <c r="E20" s="7" t="s">
        <v>140</v>
      </c>
      <c r="F20" s="7" t="s">
        <v>141</v>
      </c>
      <c r="G20" s="7" t="s">
        <v>142</v>
      </c>
      <c r="H20" s="7" t="s">
        <v>143</v>
      </c>
      <c r="I20" s="8" t="s">
        <v>36</v>
      </c>
      <c r="J20" s="7" t="s">
        <v>37</v>
      </c>
      <c r="K20" s="7" t="s">
        <v>65</v>
      </c>
      <c r="L20" s="9" t="s">
        <v>13</v>
      </c>
    </row>
    <row r="21" spans="1:12" ht="60" customHeight="1" x14ac:dyDescent="0.3">
      <c r="A21" s="10" t="s">
        <v>144</v>
      </c>
      <c r="B21" s="10" t="s">
        <v>94</v>
      </c>
      <c r="C21" s="10" t="s">
        <v>145</v>
      </c>
      <c r="D21" s="11" t="s">
        <v>146</v>
      </c>
      <c r="E21" s="11" t="s">
        <v>147</v>
      </c>
      <c r="F21" s="11" t="s">
        <v>148</v>
      </c>
      <c r="G21" s="11" t="s">
        <v>149</v>
      </c>
      <c r="H21" s="11" t="s">
        <v>35</v>
      </c>
      <c r="I21" s="13" t="s">
        <v>87</v>
      </c>
      <c r="J21" s="11" t="s">
        <v>71</v>
      </c>
      <c r="K21" s="11" t="s">
        <v>65</v>
      </c>
      <c r="L21" s="9" t="s">
        <v>13</v>
      </c>
    </row>
    <row r="22" spans="1:12" ht="60" customHeight="1" x14ac:dyDescent="0.3">
      <c r="A22" s="6" t="s">
        <v>150</v>
      </c>
      <c r="B22" s="6" t="s">
        <v>151</v>
      </c>
      <c r="C22" s="6" t="s">
        <v>152</v>
      </c>
      <c r="D22" s="7" t="s">
        <v>153</v>
      </c>
      <c r="E22" s="7" t="s">
        <v>154</v>
      </c>
      <c r="F22" s="7" t="s">
        <v>155</v>
      </c>
      <c r="G22" s="7" t="s">
        <v>156</v>
      </c>
      <c r="H22" s="7" t="s">
        <v>35</v>
      </c>
      <c r="I22" s="8" t="s">
        <v>36</v>
      </c>
      <c r="J22" s="7" t="s">
        <v>37</v>
      </c>
      <c r="K22" s="7" t="s">
        <v>38</v>
      </c>
      <c r="L22" s="9" t="s">
        <v>13</v>
      </c>
    </row>
    <row r="23" spans="1:12" ht="60" customHeight="1" x14ac:dyDescent="0.3">
      <c r="A23" s="10" t="s">
        <v>157</v>
      </c>
      <c r="B23" s="10" t="s">
        <v>151</v>
      </c>
      <c r="C23" s="10" t="s">
        <v>158</v>
      </c>
      <c r="D23" s="11" t="s">
        <v>159</v>
      </c>
      <c r="E23" s="11" t="s">
        <v>154</v>
      </c>
      <c r="F23" s="11" t="s">
        <v>160</v>
      </c>
      <c r="G23" s="11" t="s">
        <v>161</v>
      </c>
      <c r="H23" s="11" t="s">
        <v>35</v>
      </c>
      <c r="I23" s="8" t="s">
        <v>36</v>
      </c>
      <c r="J23" s="11" t="s">
        <v>37</v>
      </c>
      <c r="K23" s="11" t="s">
        <v>38</v>
      </c>
      <c r="L23" s="9" t="s">
        <v>13</v>
      </c>
    </row>
    <row r="24" spans="1:12" ht="60" customHeight="1" x14ac:dyDescent="0.3">
      <c r="A24" s="6" t="s">
        <v>162</v>
      </c>
      <c r="B24" s="6" t="s">
        <v>151</v>
      </c>
      <c r="C24" s="6" t="s">
        <v>163</v>
      </c>
      <c r="D24" s="7" t="s">
        <v>164</v>
      </c>
      <c r="E24" s="7" t="s">
        <v>154</v>
      </c>
      <c r="F24" s="7" t="s">
        <v>165</v>
      </c>
      <c r="G24" s="7" t="s">
        <v>166</v>
      </c>
      <c r="H24" s="7" t="s">
        <v>35</v>
      </c>
      <c r="I24" s="8" t="s">
        <v>36</v>
      </c>
      <c r="J24" s="7" t="s">
        <v>46</v>
      </c>
      <c r="K24" s="7" t="s">
        <v>65</v>
      </c>
      <c r="L24" s="9" t="s">
        <v>13</v>
      </c>
    </row>
    <row r="25" spans="1:12" ht="60" customHeight="1" x14ac:dyDescent="0.3">
      <c r="A25" s="10" t="s">
        <v>167</v>
      </c>
      <c r="B25" s="10" t="s">
        <v>151</v>
      </c>
      <c r="C25" s="10" t="s">
        <v>168</v>
      </c>
      <c r="D25" s="11" t="s">
        <v>169</v>
      </c>
      <c r="E25" s="11" t="s">
        <v>154</v>
      </c>
      <c r="F25" s="11" t="s">
        <v>170</v>
      </c>
      <c r="G25" s="11" t="s">
        <v>171</v>
      </c>
      <c r="H25" s="11" t="s">
        <v>35</v>
      </c>
      <c r="I25" s="8" t="s">
        <v>36</v>
      </c>
      <c r="J25" s="11" t="s">
        <v>46</v>
      </c>
      <c r="K25" s="11" t="s">
        <v>65</v>
      </c>
      <c r="L25" s="9" t="s">
        <v>13</v>
      </c>
    </row>
    <row r="26" spans="1:12" ht="60" customHeight="1" x14ac:dyDescent="0.3">
      <c r="A26" s="6" t="s">
        <v>172</v>
      </c>
      <c r="B26" s="6" t="s">
        <v>151</v>
      </c>
      <c r="C26" s="6" t="s">
        <v>173</v>
      </c>
      <c r="D26" s="7" t="s">
        <v>174</v>
      </c>
      <c r="E26" s="7" t="s">
        <v>154</v>
      </c>
      <c r="F26" s="7" t="s">
        <v>175</v>
      </c>
      <c r="G26" s="7" t="s">
        <v>176</v>
      </c>
      <c r="H26" s="7" t="s">
        <v>63</v>
      </c>
      <c r="I26" s="8" t="s">
        <v>36</v>
      </c>
      <c r="J26" s="7" t="s">
        <v>46</v>
      </c>
      <c r="K26" s="7" t="s">
        <v>38</v>
      </c>
      <c r="L26" s="9" t="s">
        <v>13</v>
      </c>
    </row>
    <row r="27" spans="1:12" ht="60" customHeight="1" x14ac:dyDescent="0.3">
      <c r="A27" s="10" t="s">
        <v>177</v>
      </c>
      <c r="B27" s="10" t="s">
        <v>151</v>
      </c>
      <c r="C27" s="10" t="s">
        <v>178</v>
      </c>
      <c r="D27" s="11" t="s">
        <v>179</v>
      </c>
      <c r="E27" s="11" t="s">
        <v>154</v>
      </c>
      <c r="F27" s="11" t="s">
        <v>180</v>
      </c>
      <c r="G27" s="11" t="s">
        <v>176</v>
      </c>
      <c r="H27" s="11" t="s">
        <v>63</v>
      </c>
      <c r="I27" s="8" t="s">
        <v>36</v>
      </c>
      <c r="J27" s="11" t="s">
        <v>46</v>
      </c>
      <c r="K27" s="11" t="s">
        <v>38</v>
      </c>
      <c r="L27" s="9" t="s">
        <v>13</v>
      </c>
    </row>
    <row r="28" spans="1:12" ht="60" customHeight="1" x14ac:dyDescent="0.3">
      <c r="A28" s="6" t="s">
        <v>181</v>
      </c>
      <c r="B28" s="6" t="s">
        <v>151</v>
      </c>
      <c r="C28" s="6" t="s">
        <v>182</v>
      </c>
      <c r="D28" s="7" t="s">
        <v>183</v>
      </c>
      <c r="E28" s="7" t="s">
        <v>154</v>
      </c>
      <c r="F28" s="7" t="s">
        <v>184</v>
      </c>
      <c r="G28" s="7" t="s">
        <v>185</v>
      </c>
      <c r="H28" s="7" t="s">
        <v>63</v>
      </c>
      <c r="I28" s="8" t="s">
        <v>36</v>
      </c>
      <c r="J28" s="7" t="s">
        <v>46</v>
      </c>
      <c r="K28" s="7" t="s">
        <v>65</v>
      </c>
      <c r="L28" s="9" t="s">
        <v>13</v>
      </c>
    </row>
    <row r="29" spans="1:12" ht="60" customHeight="1" x14ac:dyDescent="0.3">
      <c r="A29" s="10" t="s">
        <v>186</v>
      </c>
      <c r="B29" s="10" t="s">
        <v>151</v>
      </c>
      <c r="C29" s="10" t="s">
        <v>187</v>
      </c>
      <c r="D29" s="11" t="s">
        <v>188</v>
      </c>
      <c r="E29" s="11" t="s">
        <v>154</v>
      </c>
      <c r="F29" s="11" t="s">
        <v>189</v>
      </c>
      <c r="G29" s="11" t="s">
        <v>190</v>
      </c>
      <c r="H29" s="11" t="s">
        <v>45</v>
      </c>
      <c r="I29" s="12" t="s">
        <v>64</v>
      </c>
      <c r="J29" s="11" t="s">
        <v>46</v>
      </c>
      <c r="K29" s="11" t="s">
        <v>65</v>
      </c>
      <c r="L29" s="9" t="s">
        <v>13</v>
      </c>
    </row>
    <row r="30" spans="1:12" ht="60" customHeight="1" x14ac:dyDescent="0.3">
      <c r="A30" s="6" t="s">
        <v>191</v>
      </c>
      <c r="B30" s="6" t="s">
        <v>151</v>
      </c>
      <c r="C30" s="6" t="s">
        <v>192</v>
      </c>
      <c r="D30" s="7" t="s">
        <v>193</v>
      </c>
      <c r="E30" s="7" t="s">
        <v>154</v>
      </c>
      <c r="F30" s="7" t="s">
        <v>194</v>
      </c>
      <c r="G30" s="7" t="s">
        <v>195</v>
      </c>
      <c r="H30" s="7" t="s">
        <v>45</v>
      </c>
      <c r="I30" s="12" t="s">
        <v>64</v>
      </c>
      <c r="J30" s="7" t="s">
        <v>46</v>
      </c>
      <c r="K30" s="7" t="s">
        <v>65</v>
      </c>
      <c r="L30" s="9" t="s">
        <v>13</v>
      </c>
    </row>
    <row r="31" spans="1:12" ht="60" customHeight="1" x14ac:dyDescent="0.3">
      <c r="A31" s="10" t="s">
        <v>196</v>
      </c>
      <c r="B31" s="10" t="s">
        <v>151</v>
      </c>
      <c r="C31" s="10" t="s">
        <v>197</v>
      </c>
      <c r="D31" s="11" t="s">
        <v>198</v>
      </c>
      <c r="E31" s="11" t="s">
        <v>154</v>
      </c>
      <c r="F31" s="11" t="s">
        <v>199</v>
      </c>
      <c r="G31" s="11" t="s">
        <v>200</v>
      </c>
      <c r="H31" s="11" t="s">
        <v>35</v>
      </c>
      <c r="I31" s="8" t="s">
        <v>36</v>
      </c>
      <c r="J31" s="11" t="s">
        <v>37</v>
      </c>
      <c r="K31" s="11" t="s">
        <v>65</v>
      </c>
      <c r="L31" s="9" t="s">
        <v>13</v>
      </c>
    </row>
    <row r="32" spans="1:12" ht="60" customHeight="1" x14ac:dyDescent="0.3">
      <c r="A32" s="6" t="s">
        <v>201</v>
      </c>
      <c r="B32" s="6" t="s">
        <v>202</v>
      </c>
      <c r="C32" s="6" t="s">
        <v>203</v>
      </c>
      <c r="D32" s="7" t="s">
        <v>204</v>
      </c>
      <c r="E32" s="7" t="s">
        <v>205</v>
      </c>
      <c r="F32" s="7" t="s">
        <v>206</v>
      </c>
      <c r="G32" s="7" t="s">
        <v>207</v>
      </c>
      <c r="H32" s="7" t="s">
        <v>35</v>
      </c>
      <c r="I32" s="8" t="s">
        <v>36</v>
      </c>
      <c r="J32" s="7" t="s">
        <v>37</v>
      </c>
      <c r="K32" s="7" t="s">
        <v>38</v>
      </c>
      <c r="L32" s="9" t="s">
        <v>13</v>
      </c>
    </row>
    <row r="33" spans="1:12" ht="60" customHeight="1" x14ac:dyDescent="0.3">
      <c r="A33" s="10" t="s">
        <v>208</v>
      </c>
      <c r="B33" s="10" t="s">
        <v>202</v>
      </c>
      <c r="C33" s="10" t="s">
        <v>209</v>
      </c>
      <c r="D33" s="11" t="s">
        <v>210</v>
      </c>
      <c r="E33" s="11" t="s">
        <v>211</v>
      </c>
      <c r="F33" s="11" t="s">
        <v>212</v>
      </c>
      <c r="G33" s="11" t="s">
        <v>213</v>
      </c>
      <c r="H33" s="11" t="s">
        <v>45</v>
      </c>
      <c r="I33" s="8" t="s">
        <v>36</v>
      </c>
      <c r="J33" s="11" t="s">
        <v>46</v>
      </c>
      <c r="K33" s="11" t="s">
        <v>65</v>
      </c>
      <c r="L33" s="9" t="s">
        <v>13</v>
      </c>
    </row>
    <row r="34" spans="1:12" ht="60" customHeight="1" x14ac:dyDescent="0.3">
      <c r="A34" s="6" t="s">
        <v>214</v>
      </c>
      <c r="B34" s="6" t="s">
        <v>202</v>
      </c>
      <c r="C34" s="6" t="s">
        <v>215</v>
      </c>
      <c r="D34" s="7" t="s">
        <v>216</v>
      </c>
      <c r="E34" s="7" t="s">
        <v>211</v>
      </c>
      <c r="F34" s="7" t="s">
        <v>217</v>
      </c>
      <c r="G34" s="7" t="s">
        <v>218</v>
      </c>
      <c r="H34" s="7" t="s">
        <v>45</v>
      </c>
      <c r="I34" s="8" t="s">
        <v>36</v>
      </c>
      <c r="J34" s="7" t="s">
        <v>46</v>
      </c>
      <c r="K34" s="7" t="s">
        <v>65</v>
      </c>
      <c r="L34" s="9" t="s">
        <v>13</v>
      </c>
    </row>
    <row r="35" spans="1:12" ht="60" customHeight="1" x14ac:dyDescent="0.3">
      <c r="A35" s="10" t="s">
        <v>219</v>
      </c>
      <c r="B35" s="10" t="s">
        <v>202</v>
      </c>
      <c r="C35" s="10" t="s">
        <v>220</v>
      </c>
      <c r="D35" s="11" t="s">
        <v>221</v>
      </c>
      <c r="E35" s="11" t="s">
        <v>222</v>
      </c>
      <c r="F35" s="11" t="s">
        <v>223</v>
      </c>
      <c r="G35" s="11" t="s">
        <v>224</v>
      </c>
      <c r="H35" s="11" t="s">
        <v>35</v>
      </c>
      <c r="I35" s="8" t="s">
        <v>36</v>
      </c>
      <c r="J35" s="11" t="s">
        <v>46</v>
      </c>
      <c r="K35" s="11" t="s">
        <v>38</v>
      </c>
      <c r="L35" s="9" t="s">
        <v>13</v>
      </c>
    </row>
    <row r="36" spans="1:12" ht="60" customHeight="1" x14ac:dyDescent="0.3">
      <c r="A36" s="6" t="s">
        <v>225</v>
      </c>
      <c r="B36" s="6" t="s">
        <v>202</v>
      </c>
      <c r="C36" s="6" t="s">
        <v>226</v>
      </c>
      <c r="D36" s="7" t="s">
        <v>227</v>
      </c>
      <c r="E36" s="7" t="s">
        <v>222</v>
      </c>
      <c r="F36" s="7" t="s">
        <v>228</v>
      </c>
      <c r="G36" s="7" t="s">
        <v>229</v>
      </c>
      <c r="H36" s="7" t="s">
        <v>35</v>
      </c>
      <c r="I36" s="8" t="s">
        <v>36</v>
      </c>
      <c r="J36" s="7" t="s">
        <v>46</v>
      </c>
      <c r="K36" s="7" t="s">
        <v>65</v>
      </c>
      <c r="L36" s="9" t="s">
        <v>13</v>
      </c>
    </row>
    <row r="37" spans="1:12" ht="60" customHeight="1" x14ac:dyDescent="0.3">
      <c r="A37" s="10" t="s">
        <v>230</v>
      </c>
      <c r="B37" s="10" t="s">
        <v>202</v>
      </c>
      <c r="C37" s="10" t="s">
        <v>231</v>
      </c>
      <c r="D37" s="11" t="s">
        <v>232</v>
      </c>
      <c r="E37" s="11" t="s">
        <v>154</v>
      </c>
      <c r="F37" s="11" t="s">
        <v>233</v>
      </c>
      <c r="G37" s="11" t="s">
        <v>234</v>
      </c>
      <c r="H37" s="11" t="s">
        <v>35</v>
      </c>
      <c r="I37" s="12" t="s">
        <v>64</v>
      </c>
      <c r="J37" s="11" t="s">
        <v>71</v>
      </c>
      <c r="K37" s="11" t="s">
        <v>65</v>
      </c>
      <c r="L37" s="9" t="s">
        <v>13</v>
      </c>
    </row>
    <row r="38" spans="1:12" ht="60" customHeight="1" x14ac:dyDescent="0.3">
      <c r="A38" s="6" t="s">
        <v>235</v>
      </c>
      <c r="B38" s="6" t="s">
        <v>202</v>
      </c>
      <c r="C38" s="6" t="s">
        <v>236</v>
      </c>
      <c r="D38" s="7" t="s">
        <v>237</v>
      </c>
      <c r="E38" s="7" t="s">
        <v>222</v>
      </c>
      <c r="F38" s="7" t="s">
        <v>238</v>
      </c>
      <c r="G38" s="7" t="s">
        <v>239</v>
      </c>
      <c r="H38" s="7" t="s">
        <v>35</v>
      </c>
      <c r="I38" s="8" t="s">
        <v>36</v>
      </c>
      <c r="J38" s="7" t="s">
        <v>46</v>
      </c>
      <c r="K38" s="7" t="s">
        <v>65</v>
      </c>
      <c r="L38" s="9" t="s">
        <v>13</v>
      </c>
    </row>
    <row r="39" spans="1:12" ht="60" customHeight="1" x14ac:dyDescent="0.3">
      <c r="A39" s="10" t="s">
        <v>240</v>
      </c>
      <c r="B39" s="10" t="s">
        <v>202</v>
      </c>
      <c r="C39" s="10" t="s">
        <v>241</v>
      </c>
      <c r="D39" s="11" t="s">
        <v>242</v>
      </c>
      <c r="E39" s="11" t="s">
        <v>243</v>
      </c>
      <c r="F39" s="11" t="s">
        <v>244</v>
      </c>
      <c r="G39" s="11" t="s">
        <v>245</v>
      </c>
      <c r="H39" s="11" t="s">
        <v>143</v>
      </c>
      <c r="I39" s="8" t="s">
        <v>36</v>
      </c>
      <c r="J39" s="11" t="s">
        <v>37</v>
      </c>
      <c r="K39" s="11" t="s">
        <v>65</v>
      </c>
      <c r="L39" s="9" t="s">
        <v>13</v>
      </c>
    </row>
    <row r="40" spans="1:12" ht="60" customHeight="1" x14ac:dyDescent="0.3">
      <c r="A40" s="6" t="s">
        <v>246</v>
      </c>
      <c r="B40" s="6" t="s">
        <v>247</v>
      </c>
      <c r="C40" s="6" t="s">
        <v>248</v>
      </c>
      <c r="D40" s="7" t="s">
        <v>249</v>
      </c>
      <c r="E40" s="7" t="s">
        <v>250</v>
      </c>
      <c r="F40" s="7" t="s">
        <v>251</v>
      </c>
      <c r="G40" s="7" t="s">
        <v>252</v>
      </c>
      <c r="H40" s="7" t="s">
        <v>35</v>
      </c>
      <c r="I40" s="8" t="s">
        <v>36</v>
      </c>
      <c r="J40" s="7" t="s">
        <v>37</v>
      </c>
      <c r="K40" s="7" t="s">
        <v>38</v>
      </c>
      <c r="L40" s="9" t="s">
        <v>13</v>
      </c>
    </row>
    <row r="41" spans="1:12" ht="60" customHeight="1" x14ac:dyDescent="0.3">
      <c r="A41" s="10" t="s">
        <v>253</v>
      </c>
      <c r="B41" s="10" t="s">
        <v>247</v>
      </c>
      <c r="C41" s="10" t="s">
        <v>254</v>
      </c>
      <c r="D41" s="11" t="s">
        <v>255</v>
      </c>
      <c r="E41" s="11" t="s">
        <v>256</v>
      </c>
      <c r="F41" s="11" t="s">
        <v>257</v>
      </c>
      <c r="G41" s="11" t="s">
        <v>258</v>
      </c>
      <c r="H41" s="11" t="s">
        <v>63</v>
      </c>
      <c r="I41" s="8" t="s">
        <v>36</v>
      </c>
      <c r="J41" s="11" t="s">
        <v>37</v>
      </c>
      <c r="K41" s="11" t="s">
        <v>38</v>
      </c>
      <c r="L41" s="9" t="s">
        <v>13</v>
      </c>
    </row>
    <row r="42" spans="1:12" ht="60" customHeight="1" x14ac:dyDescent="0.3">
      <c r="A42" s="6" t="s">
        <v>259</v>
      </c>
      <c r="B42" s="6" t="s">
        <v>247</v>
      </c>
      <c r="C42" s="6" t="s">
        <v>260</v>
      </c>
      <c r="D42" s="7" t="s">
        <v>261</v>
      </c>
      <c r="E42" s="7" t="s">
        <v>262</v>
      </c>
      <c r="F42" s="7" t="s">
        <v>263</v>
      </c>
      <c r="G42" s="7" t="s">
        <v>264</v>
      </c>
      <c r="H42" s="7" t="s">
        <v>63</v>
      </c>
      <c r="I42" s="8" t="s">
        <v>36</v>
      </c>
      <c r="J42" s="7" t="s">
        <v>46</v>
      </c>
      <c r="K42" s="7" t="s">
        <v>65</v>
      </c>
      <c r="L42" s="9" t="s">
        <v>13</v>
      </c>
    </row>
    <row r="43" spans="1:12" ht="60" customHeight="1" x14ac:dyDescent="0.3">
      <c r="A43" s="10" t="s">
        <v>265</v>
      </c>
      <c r="B43" s="10" t="s">
        <v>247</v>
      </c>
      <c r="C43" s="10" t="s">
        <v>266</v>
      </c>
      <c r="D43" s="11" t="s">
        <v>267</v>
      </c>
      <c r="E43" s="11" t="s">
        <v>262</v>
      </c>
      <c r="F43" s="11" t="s">
        <v>268</v>
      </c>
      <c r="G43" s="11" t="s">
        <v>269</v>
      </c>
      <c r="H43" s="11" t="s">
        <v>63</v>
      </c>
      <c r="I43" s="8" t="s">
        <v>36</v>
      </c>
      <c r="J43" s="11" t="s">
        <v>46</v>
      </c>
      <c r="K43" s="11" t="s">
        <v>38</v>
      </c>
      <c r="L43" s="9" t="s">
        <v>13</v>
      </c>
    </row>
    <row r="44" spans="1:12" ht="60" customHeight="1" x14ac:dyDescent="0.3">
      <c r="A44" s="6" t="s">
        <v>270</v>
      </c>
      <c r="B44" s="6" t="s">
        <v>247</v>
      </c>
      <c r="C44" s="6" t="s">
        <v>271</v>
      </c>
      <c r="D44" s="7" t="s">
        <v>272</v>
      </c>
      <c r="E44" s="7" t="s">
        <v>262</v>
      </c>
      <c r="F44" s="7" t="s">
        <v>273</v>
      </c>
      <c r="G44" s="7" t="s">
        <v>190</v>
      </c>
      <c r="H44" s="7" t="s">
        <v>45</v>
      </c>
      <c r="I44" s="12" t="s">
        <v>64</v>
      </c>
      <c r="J44" s="7" t="s">
        <v>46</v>
      </c>
      <c r="K44" s="7" t="s">
        <v>65</v>
      </c>
      <c r="L44" s="9" t="s">
        <v>13</v>
      </c>
    </row>
    <row r="45" spans="1:12" ht="60" customHeight="1" x14ac:dyDescent="0.3">
      <c r="A45" s="10" t="s">
        <v>274</v>
      </c>
      <c r="B45" s="10" t="s">
        <v>247</v>
      </c>
      <c r="C45" s="10" t="s">
        <v>275</v>
      </c>
      <c r="D45" s="11" t="s">
        <v>276</v>
      </c>
      <c r="E45" s="11" t="s">
        <v>262</v>
      </c>
      <c r="F45" s="11" t="s">
        <v>277</v>
      </c>
      <c r="G45" s="11" t="s">
        <v>278</v>
      </c>
      <c r="H45" s="11" t="s">
        <v>45</v>
      </c>
      <c r="I45" s="12" t="s">
        <v>64</v>
      </c>
      <c r="J45" s="11" t="s">
        <v>46</v>
      </c>
      <c r="K45" s="11" t="s">
        <v>65</v>
      </c>
      <c r="L45" s="9" t="s">
        <v>13</v>
      </c>
    </row>
    <row r="46" spans="1:12" ht="60" customHeight="1" x14ac:dyDescent="0.3">
      <c r="A46" s="6" t="s">
        <v>279</v>
      </c>
      <c r="B46" s="6" t="s">
        <v>247</v>
      </c>
      <c r="C46" s="6" t="s">
        <v>280</v>
      </c>
      <c r="D46" s="7" t="s">
        <v>281</v>
      </c>
      <c r="E46" s="7" t="s">
        <v>262</v>
      </c>
      <c r="F46" s="7" t="s">
        <v>282</v>
      </c>
      <c r="G46" s="7" t="s">
        <v>283</v>
      </c>
      <c r="H46" s="7" t="s">
        <v>45</v>
      </c>
      <c r="I46" s="8" t="s">
        <v>36</v>
      </c>
      <c r="J46" s="7" t="s">
        <v>46</v>
      </c>
      <c r="K46" s="7" t="s">
        <v>38</v>
      </c>
      <c r="L46" s="9" t="s">
        <v>13</v>
      </c>
    </row>
    <row r="47" spans="1:12" ht="60" customHeight="1" x14ac:dyDescent="0.3">
      <c r="A47" s="10" t="s">
        <v>284</v>
      </c>
      <c r="B47" s="10" t="s">
        <v>247</v>
      </c>
      <c r="C47" s="10" t="s">
        <v>285</v>
      </c>
      <c r="D47" s="11" t="s">
        <v>286</v>
      </c>
      <c r="E47" s="11" t="s">
        <v>287</v>
      </c>
      <c r="F47" s="11" t="s">
        <v>288</v>
      </c>
      <c r="G47" s="11" t="s">
        <v>289</v>
      </c>
      <c r="H47" s="11" t="s">
        <v>35</v>
      </c>
      <c r="I47" s="12" t="s">
        <v>64</v>
      </c>
      <c r="J47" s="11" t="s">
        <v>71</v>
      </c>
      <c r="K47" s="11" t="s">
        <v>65</v>
      </c>
      <c r="L47" s="9" t="s">
        <v>13</v>
      </c>
    </row>
    <row r="48" spans="1:12" ht="60" customHeight="1" x14ac:dyDescent="0.3">
      <c r="A48" s="6" t="s">
        <v>290</v>
      </c>
      <c r="B48" s="6" t="s">
        <v>247</v>
      </c>
      <c r="C48" s="6" t="s">
        <v>291</v>
      </c>
      <c r="D48" s="7" t="s">
        <v>292</v>
      </c>
      <c r="E48" s="7" t="s">
        <v>293</v>
      </c>
      <c r="F48" s="7" t="s">
        <v>294</v>
      </c>
      <c r="G48" s="7" t="s">
        <v>295</v>
      </c>
      <c r="H48" s="7" t="s">
        <v>35</v>
      </c>
      <c r="I48" s="8" t="s">
        <v>36</v>
      </c>
      <c r="J48" s="7" t="s">
        <v>46</v>
      </c>
      <c r="K48" s="7" t="s">
        <v>38</v>
      </c>
      <c r="L48" s="9" t="s">
        <v>13</v>
      </c>
    </row>
    <row r="49" spans="1:12" ht="60" customHeight="1" x14ac:dyDescent="0.3">
      <c r="A49" s="10" t="s">
        <v>296</v>
      </c>
      <c r="B49" s="10" t="s">
        <v>247</v>
      </c>
      <c r="C49" s="10" t="s">
        <v>297</v>
      </c>
      <c r="D49" s="11" t="s">
        <v>298</v>
      </c>
      <c r="E49" s="11" t="s">
        <v>262</v>
      </c>
      <c r="F49" s="11" t="s">
        <v>299</v>
      </c>
      <c r="G49" s="11" t="s">
        <v>300</v>
      </c>
      <c r="H49" s="11" t="s">
        <v>35</v>
      </c>
      <c r="I49" s="12" t="s">
        <v>64</v>
      </c>
      <c r="J49" s="11" t="s">
        <v>71</v>
      </c>
      <c r="K49" s="11" t="s">
        <v>65</v>
      </c>
      <c r="L49" s="9" t="s">
        <v>13</v>
      </c>
    </row>
    <row r="50" spans="1:12" ht="60" customHeight="1" x14ac:dyDescent="0.3">
      <c r="A50" s="6" t="s">
        <v>301</v>
      </c>
      <c r="B50" s="6" t="s">
        <v>247</v>
      </c>
      <c r="C50" s="6" t="s">
        <v>302</v>
      </c>
      <c r="D50" s="7" t="s">
        <v>303</v>
      </c>
      <c r="E50" s="7" t="s">
        <v>304</v>
      </c>
      <c r="F50" s="7" t="s">
        <v>305</v>
      </c>
      <c r="G50" s="7" t="s">
        <v>306</v>
      </c>
      <c r="H50" s="7" t="s">
        <v>35</v>
      </c>
      <c r="I50" s="8" t="s">
        <v>36</v>
      </c>
      <c r="J50" s="7" t="s">
        <v>46</v>
      </c>
      <c r="K50" s="7" t="s">
        <v>65</v>
      </c>
      <c r="L50" s="9" t="s">
        <v>14</v>
      </c>
    </row>
    <row r="51" spans="1:12" ht="60" customHeight="1" x14ac:dyDescent="0.3">
      <c r="A51" s="10" t="s">
        <v>307</v>
      </c>
      <c r="B51" s="10" t="s">
        <v>247</v>
      </c>
      <c r="C51" s="10" t="s">
        <v>308</v>
      </c>
      <c r="D51" s="11" t="s">
        <v>309</v>
      </c>
      <c r="E51" s="11" t="s">
        <v>293</v>
      </c>
      <c r="F51" s="11" t="s">
        <v>310</v>
      </c>
      <c r="G51" s="11" t="s">
        <v>311</v>
      </c>
      <c r="H51" s="11" t="s">
        <v>35</v>
      </c>
      <c r="I51" s="8" t="s">
        <v>36</v>
      </c>
      <c r="J51" s="11" t="s">
        <v>46</v>
      </c>
      <c r="K51" s="11" t="s">
        <v>65</v>
      </c>
      <c r="L51" s="9" t="s">
        <v>13</v>
      </c>
    </row>
    <row r="52" spans="1:12" ht="60" customHeight="1" x14ac:dyDescent="0.3">
      <c r="A52" s="6" t="s">
        <v>312</v>
      </c>
      <c r="B52" s="6" t="s">
        <v>313</v>
      </c>
      <c r="C52" s="6" t="s">
        <v>314</v>
      </c>
      <c r="D52" s="7" t="s">
        <v>315</v>
      </c>
      <c r="E52" s="7" t="s">
        <v>316</v>
      </c>
      <c r="F52" s="7" t="s">
        <v>317</v>
      </c>
      <c r="G52" s="7" t="s">
        <v>318</v>
      </c>
      <c r="H52" s="7" t="s">
        <v>35</v>
      </c>
      <c r="I52" s="8" t="s">
        <v>36</v>
      </c>
      <c r="J52" s="7" t="s">
        <v>37</v>
      </c>
      <c r="K52" s="7" t="s">
        <v>38</v>
      </c>
      <c r="L52" s="9" t="s">
        <v>13</v>
      </c>
    </row>
    <row r="53" spans="1:12" ht="60" customHeight="1" x14ac:dyDescent="0.3">
      <c r="A53" s="10" t="s">
        <v>319</v>
      </c>
      <c r="B53" s="10" t="s">
        <v>313</v>
      </c>
      <c r="C53" s="10" t="s">
        <v>320</v>
      </c>
      <c r="D53" s="11" t="s">
        <v>321</v>
      </c>
      <c r="E53" s="11" t="s">
        <v>316</v>
      </c>
      <c r="F53" s="11" t="s">
        <v>322</v>
      </c>
      <c r="G53" s="11" t="s">
        <v>323</v>
      </c>
      <c r="H53" s="11" t="s">
        <v>35</v>
      </c>
      <c r="I53" s="8" t="s">
        <v>36</v>
      </c>
      <c r="J53" s="11" t="s">
        <v>46</v>
      </c>
      <c r="K53" s="11" t="s">
        <v>38</v>
      </c>
      <c r="L53" s="9" t="s">
        <v>13</v>
      </c>
    </row>
    <row r="54" spans="1:12" ht="60" customHeight="1" x14ac:dyDescent="0.3">
      <c r="A54" s="6" t="s">
        <v>324</v>
      </c>
      <c r="B54" s="6" t="s">
        <v>313</v>
      </c>
      <c r="C54" s="6" t="s">
        <v>325</v>
      </c>
      <c r="D54" s="7" t="s">
        <v>326</v>
      </c>
      <c r="E54" s="7" t="s">
        <v>316</v>
      </c>
      <c r="F54" s="7" t="s">
        <v>327</v>
      </c>
      <c r="G54" s="7" t="s">
        <v>328</v>
      </c>
      <c r="H54" s="7" t="s">
        <v>35</v>
      </c>
      <c r="I54" s="8" t="s">
        <v>36</v>
      </c>
      <c r="J54" s="7" t="s">
        <v>46</v>
      </c>
      <c r="K54" s="7" t="s">
        <v>38</v>
      </c>
      <c r="L54" s="9" t="s">
        <v>13</v>
      </c>
    </row>
    <row r="55" spans="1:12" ht="60" customHeight="1" x14ac:dyDescent="0.3">
      <c r="A55" s="10" t="s">
        <v>329</v>
      </c>
      <c r="B55" s="10" t="s">
        <v>313</v>
      </c>
      <c r="C55" s="10" t="s">
        <v>330</v>
      </c>
      <c r="D55" s="11" t="s">
        <v>331</v>
      </c>
      <c r="E55" s="11" t="s">
        <v>332</v>
      </c>
      <c r="F55" s="11" t="s">
        <v>333</v>
      </c>
      <c r="G55" s="11" t="s">
        <v>334</v>
      </c>
      <c r="H55" s="11" t="s">
        <v>35</v>
      </c>
      <c r="I55" s="8" t="s">
        <v>36</v>
      </c>
      <c r="J55" s="11" t="s">
        <v>37</v>
      </c>
      <c r="K55" s="11" t="s">
        <v>38</v>
      </c>
      <c r="L55" s="9" t="s">
        <v>13</v>
      </c>
    </row>
    <row r="56" spans="1:12" ht="60" customHeight="1" x14ac:dyDescent="0.3">
      <c r="A56" s="6" t="s">
        <v>335</v>
      </c>
      <c r="B56" s="6" t="s">
        <v>313</v>
      </c>
      <c r="C56" s="6" t="s">
        <v>336</v>
      </c>
      <c r="D56" s="7" t="s">
        <v>337</v>
      </c>
      <c r="E56" s="7" t="s">
        <v>332</v>
      </c>
      <c r="F56" s="7" t="s">
        <v>338</v>
      </c>
      <c r="G56" s="7" t="s">
        <v>339</v>
      </c>
      <c r="H56" s="7" t="s">
        <v>35</v>
      </c>
      <c r="I56" s="8" t="s">
        <v>36</v>
      </c>
      <c r="J56" s="7" t="s">
        <v>37</v>
      </c>
      <c r="K56" s="7" t="s">
        <v>38</v>
      </c>
      <c r="L56" s="9" t="s">
        <v>13</v>
      </c>
    </row>
    <row r="57" spans="1:12" ht="60" customHeight="1" x14ac:dyDescent="0.3">
      <c r="A57" s="10" t="s">
        <v>340</v>
      </c>
      <c r="B57" s="10" t="s">
        <v>313</v>
      </c>
      <c r="C57" s="10" t="s">
        <v>341</v>
      </c>
      <c r="D57" s="11" t="s">
        <v>342</v>
      </c>
      <c r="E57" s="11" t="s">
        <v>343</v>
      </c>
      <c r="F57" s="11" t="s">
        <v>344</v>
      </c>
      <c r="G57" s="11" t="s">
        <v>345</v>
      </c>
      <c r="H57" s="11" t="s">
        <v>35</v>
      </c>
      <c r="I57" s="8" t="s">
        <v>36</v>
      </c>
      <c r="J57" s="11" t="s">
        <v>46</v>
      </c>
      <c r="K57" s="11" t="s">
        <v>65</v>
      </c>
      <c r="L57" s="9" t="s">
        <v>13</v>
      </c>
    </row>
    <row r="58" spans="1:12" ht="60" customHeight="1" x14ac:dyDescent="0.3">
      <c r="A58" s="6" t="s">
        <v>346</v>
      </c>
      <c r="B58" s="6" t="s">
        <v>313</v>
      </c>
      <c r="C58" s="6" t="s">
        <v>347</v>
      </c>
      <c r="D58" s="7" t="s">
        <v>348</v>
      </c>
      <c r="E58" s="7" t="s">
        <v>349</v>
      </c>
      <c r="F58" s="7" t="s">
        <v>350</v>
      </c>
      <c r="G58" s="7" t="s">
        <v>351</v>
      </c>
      <c r="H58" s="7" t="s">
        <v>35</v>
      </c>
      <c r="I58" s="8" t="s">
        <v>36</v>
      </c>
      <c r="J58" s="7" t="s">
        <v>46</v>
      </c>
      <c r="K58" s="7" t="s">
        <v>65</v>
      </c>
      <c r="L58" s="9" t="s">
        <v>13</v>
      </c>
    </row>
    <row r="59" spans="1:12" ht="60" customHeight="1" x14ac:dyDescent="0.3">
      <c r="A59" s="10" t="s">
        <v>352</v>
      </c>
      <c r="B59" s="10" t="s">
        <v>313</v>
      </c>
      <c r="C59" s="10" t="s">
        <v>353</v>
      </c>
      <c r="D59" s="11" t="s">
        <v>354</v>
      </c>
      <c r="E59" s="11" t="s">
        <v>154</v>
      </c>
      <c r="F59" s="11" t="s">
        <v>355</v>
      </c>
      <c r="G59" s="11" t="s">
        <v>356</v>
      </c>
      <c r="H59" s="11" t="s">
        <v>143</v>
      </c>
      <c r="I59" s="8" t="s">
        <v>36</v>
      </c>
      <c r="J59" s="11" t="s">
        <v>37</v>
      </c>
      <c r="K59" s="11" t="s">
        <v>65</v>
      </c>
      <c r="L59" s="9" t="s">
        <v>13</v>
      </c>
    </row>
    <row r="60" spans="1:12" ht="60" customHeight="1" x14ac:dyDescent="0.3">
      <c r="A60" s="6" t="s">
        <v>357</v>
      </c>
      <c r="B60" s="6" t="s">
        <v>313</v>
      </c>
      <c r="C60" s="6" t="s">
        <v>358</v>
      </c>
      <c r="D60" s="7" t="s">
        <v>359</v>
      </c>
      <c r="E60" s="7" t="s">
        <v>360</v>
      </c>
      <c r="F60" s="7" t="s">
        <v>361</v>
      </c>
      <c r="G60" s="7" t="s">
        <v>362</v>
      </c>
      <c r="H60" s="7" t="s">
        <v>35</v>
      </c>
      <c r="I60" s="12" t="s">
        <v>64</v>
      </c>
      <c r="J60" s="7" t="s">
        <v>46</v>
      </c>
      <c r="K60" s="7" t="s">
        <v>65</v>
      </c>
      <c r="L60" s="9" t="s">
        <v>13</v>
      </c>
    </row>
    <row r="61" spans="1:12" ht="60" customHeight="1" x14ac:dyDescent="0.3">
      <c r="A61" s="10" t="s">
        <v>363</v>
      </c>
      <c r="B61" s="10" t="s">
        <v>313</v>
      </c>
      <c r="C61" s="10" t="s">
        <v>364</v>
      </c>
      <c r="D61" s="11" t="s">
        <v>365</v>
      </c>
      <c r="E61" s="11" t="s">
        <v>366</v>
      </c>
      <c r="F61" s="11" t="s">
        <v>367</v>
      </c>
      <c r="G61" s="11" t="s">
        <v>368</v>
      </c>
      <c r="H61" s="11" t="s">
        <v>35</v>
      </c>
      <c r="I61" s="12" t="s">
        <v>64</v>
      </c>
      <c r="J61" s="11" t="s">
        <v>71</v>
      </c>
      <c r="K61" s="11" t="s">
        <v>65</v>
      </c>
      <c r="L61" s="9" t="s">
        <v>13</v>
      </c>
    </row>
  </sheetData>
  <autoFilter ref="A1:L6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25"/>
  <sheetViews>
    <sheetView showGridLines="0" zoomScaleNormal="100" workbookViewId="0">
      <pane ySplit="1" topLeftCell="A20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42" customWidth="1"/>
    <col min="3" max="3" width="16" customWidth="1"/>
    <col min="4" max="4" width="20" customWidth="1"/>
    <col min="5" max="5" width="36" customWidth="1"/>
    <col min="6" max="6" width="10" customWidth="1"/>
    <col min="7" max="7" width="12" customWidth="1"/>
  </cols>
  <sheetData>
    <row r="1" spans="1:7" ht="30" customHeight="1" x14ac:dyDescent="0.3">
      <c r="A1" s="4" t="s">
        <v>369</v>
      </c>
      <c r="B1" s="4" t="s">
        <v>370</v>
      </c>
      <c r="C1" s="4" t="s">
        <v>17</v>
      </c>
      <c r="D1" s="4" t="s">
        <v>371</v>
      </c>
      <c r="E1" s="4" t="s">
        <v>19</v>
      </c>
      <c r="F1" s="4" t="s">
        <v>24</v>
      </c>
      <c r="G1" s="4" t="s">
        <v>27</v>
      </c>
    </row>
    <row r="2" spans="1:7" ht="36" customHeight="1" x14ac:dyDescent="0.3">
      <c r="A2" s="6" t="s">
        <v>372</v>
      </c>
      <c r="B2" s="6" t="s">
        <v>373</v>
      </c>
      <c r="C2" s="6" t="s">
        <v>29</v>
      </c>
      <c r="D2" s="7" t="s">
        <v>374</v>
      </c>
      <c r="E2" s="7" t="s">
        <v>375</v>
      </c>
      <c r="F2" s="8" t="s">
        <v>36</v>
      </c>
      <c r="G2" s="14" t="s">
        <v>376</v>
      </c>
    </row>
    <row r="3" spans="1:7" ht="36" customHeight="1" x14ac:dyDescent="0.3">
      <c r="A3" s="10" t="s">
        <v>377</v>
      </c>
      <c r="B3" s="10" t="s">
        <v>378</v>
      </c>
      <c r="C3" s="10" t="s">
        <v>29</v>
      </c>
      <c r="D3" s="11" t="s">
        <v>39</v>
      </c>
      <c r="E3" s="11" t="s">
        <v>379</v>
      </c>
      <c r="F3" s="8" t="s">
        <v>36</v>
      </c>
      <c r="G3" s="14" t="s">
        <v>376</v>
      </c>
    </row>
    <row r="4" spans="1:7" ht="36" customHeight="1" x14ac:dyDescent="0.3">
      <c r="A4" s="6" t="s">
        <v>380</v>
      </c>
      <c r="B4" s="6" t="s">
        <v>381</v>
      </c>
      <c r="C4" s="6" t="s">
        <v>29</v>
      </c>
      <c r="D4" s="7" t="s">
        <v>58</v>
      </c>
      <c r="E4" s="7" t="s">
        <v>382</v>
      </c>
      <c r="F4" s="8" t="s">
        <v>36</v>
      </c>
      <c r="G4" s="14" t="s">
        <v>376</v>
      </c>
    </row>
    <row r="5" spans="1:7" ht="36" customHeight="1" x14ac:dyDescent="0.3">
      <c r="A5" s="10" t="s">
        <v>383</v>
      </c>
      <c r="B5" s="10" t="s">
        <v>384</v>
      </c>
      <c r="C5" s="10" t="s">
        <v>94</v>
      </c>
      <c r="D5" s="11" t="s">
        <v>385</v>
      </c>
      <c r="E5" s="11" t="s">
        <v>386</v>
      </c>
      <c r="F5" s="8" t="s">
        <v>36</v>
      </c>
      <c r="G5" s="14" t="s">
        <v>376</v>
      </c>
    </row>
    <row r="6" spans="1:7" ht="36" customHeight="1" x14ac:dyDescent="0.3">
      <c r="A6" s="6" t="s">
        <v>387</v>
      </c>
      <c r="B6" s="6" t="s">
        <v>388</v>
      </c>
      <c r="C6" s="6" t="s">
        <v>94</v>
      </c>
      <c r="D6" s="7" t="s">
        <v>119</v>
      </c>
      <c r="E6" s="7" t="s">
        <v>120</v>
      </c>
      <c r="F6" s="8" t="s">
        <v>36</v>
      </c>
      <c r="G6" s="14" t="s">
        <v>376</v>
      </c>
    </row>
    <row r="7" spans="1:7" ht="36" customHeight="1" x14ac:dyDescent="0.3">
      <c r="A7" s="10" t="s">
        <v>389</v>
      </c>
      <c r="B7" s="10" t="s">
        <v>390</v>
      </c>
      <c r="C7" s="10" t="s">
        <v>94</v>
      </c>
      <c r="D7" s="11" t="s">
        <v>131</v>
      </c>
      <c r="E7" s="11" t="s">
        <v>391</v>
      </c>
      <c r="F7" s="8" t="s">
        <v>36</v>
      </c>
      <c r="G7" s="14" t="s">
        <v>376</v>
      </c>
    </row>
    <row r="8" spans="1:7" ht="36" customHeight="1" x14ac:dyDescent="0.3">
      <c r="A8" s="6" t="s">
        <v>392</v>
      </c>
      <c r="B8" s="6" t="s">
        <v>393</v>
      </c>
      <c r="C8" s="6" t="s">
        <v>94</v>
      </c>
      <c r="D8" s="7" t="s">
        <v>137</v>
      </c>
      <c r="E8" s="7" t="s">
        <v>394</v>
      </c>
      <c r="F8" s="8" t="s">
        <v>36</v>
      </c>
      <c r="G8" s="14" t="s">
        <v>376</v>
      </c>
    </row>
    <row r="9" spans="1:7" ht="36" customHeight="1" x14ac:dyDescent="0.3">
      <c r="A9" s="10" t="s">
        <v>395</v>
      </c>
      <c r="B9" s="10" t="s">
        <v>396</v>
      </c>
      <c r="C9" s="10" t="s">
        <v>151</v>
      </c>
      <c r="D9" s="11" t="s">
        <v>397</v>
      </c>
      <c r="E9" s="11" t="s">
        <v>398</v>
      </c>
      <c r="F9" s="8" t="s">
        <v>36</v>
      </c>
      <c r="G9" s="14" t="s">
        <v>376</v>
      </c>
    </row>
    <row r="10" spans="1:7" ht="36" customHeight="1" x14ac:dyDescent="0.3">
      <c r="A10" s="6" t="s">
        <v>399</v>
      </c>
      <c r="B10" s="6" t="s">
        <v>400</v>
      </c>
      <c r="C10" s="6" t="s">
        <v>151</v>
      </c>
      <c r="D10" s="7" t="s">
        <v>401</v>
      </c>
      <c r="E10" s="7" t="s">
        <v>402</v>
      </c>
      <c r="F10" s="8" t="s">
        <v>36</v>
      </c>
      <c r="G10" s="14" t="s">
        <v>376</v>
      </c>
    </row>
    <row r="11" spans="1:7" ht="36" customHeight="1" x14ac:dyDescent="0.3">
      <c r="A11" s="10" t="s">
        <v>403</v>
      </c>
      <c r="B11" s="10" t="s">
        <v>404</v>
      </c>
      <c r="C11" s="10" t="s">
        <v>151</v>
      </c>
      <c r="D11" s="11" t="s">
        <v>405</v>
      </c>
      <c r="E11" s="11" t="s">
        <v>406</v>
      </c>
      <c r="F11" s="8" t="s">
        <v>36</v>
      </c>
      <c r="G11" s="14" t="s">
        <v>376</v>
      </c>
    </row>
    <row r="12" spans="1:7" ht="36" customHeight="1" x14ac:dyDescent="0.3">
      <c r="A12" s="6" t="s">
        <v>407</v>
      </c>
      <c r="B12" s="6" t="s">
        <v>408</v>
      </c>
      <c r="C12" s="6" t="s">
        <v>151</v>
      </c>
      <c r="D12" s="7" t="s">
        <v>196</v>
      </c>
      <c r="E12" s="7" t="s">
        <v>197</v>
      </c>
      <c r="F12" s="8" t="s">
        <v>36</v>
      </c>
      <c r="G12" s="14" t="s">
        <v>376</v>
      </c>
    </row>
    <row r="13" spans="1:7" ht="36" customHeight="1" x14ac:dyDescent="0.3">
      <c r="A13" s="10" t="s">
        <v>409</v>
      </c>
      <c r="B13" s="10" t="s">
        <v>410</v>
      </c>
      <c r="C13" s="10" t="s">
        <v>202</v>
      </c>
      <c r="D13" s="11" t="s">
        <v>411</v>
      </c>
      <c r="E13" s="11" t="s">
        <v>412</v>
      </c>
      <c r="F13" s="8" t="s">
        <v>36</v>
      </c>
      <c r="G13" s="14" t="s">
        <v>376</v>
      </c>
    </row>
    <row r="14" spans="1:7" ht="36" customHeight="1" x14ac:dyDescent="0.3">
      <c r="A14" s="6" t="s">
        <v>413</v>
      </c>
      <c r="B14" s="6" t="s">
        <v>414</v>
      </c>
      <c r="C14" s="6" t="s">
        <v>202</v>
      </c>
      <c r="D14" s="7" t="s">
        <v>415</v>
      </c>
      <c r="E14" s="7" t="s">
        <v>416</v>
      </c>
      <c r="F14" s="8" t="s">
        <v>36</v>
      </c>
      <c r="G14" s="14" t="s">
        <v>376</v>
      </c>
    </row>
    <row r="15" spans="1:7" ht="36" customHeight="1" x14ac:dyDescent="0.3">
      <c r="A15" s="10" t="s">
        <v>417</v>
      </c>
      <c r="B15" s="10" t="s">
        <v>418</v>
      </c>
      <c r="C15" s="10" t="s">
        <v>247</v>
      </c>
      <c r="D15" s="11" t="s">
        <v>419</v>
      </c>
      <c r="E15" s="11" t="s">
        <v>420</v>
      </c>
      <c r="F15" s="8" t="s">
        <v>36</v>
      </c>
      <c r="G15" s="14" t="s">
        <v>376</v>
      </c>
    </row>
    <row r="16" spans="1:7" ht="36" customHeight="1" x14ac:dyDescent="0.3">
      <c r="A16" s="6" t="s">
        <v>421</v>
      </c>
      <c r="B16" s="6" t="s">
        <v>422</v>
      </c>
      <c r="C16" s="6" t="s">
        <v>247</v>
      </c>
      <c r="D16" s="7" t="s">
        <v>423</v>
      </c>
      <c r="E16" s="7" t="s">
        <v>424</v>
      </c>
      <c r="F16" s="8" t="s">
        <v>36</v>
      </c>
      <c r="G16" s="14" t="s">
        <v>376</v>
      </c>
    </row>
    <row r="17" spans="1:7" ht="36" customHeight="1" x14ac:dyDescent="0.3">
      <c r="A17" s="10" t="s">
        <v>425</v>
      </c>
      <c r="B17" s="10" t="s">
        <v>426</v>
      </c>
      <c r="C17" s="10" t="s">
        <v>247</v>
      </c>
      <c r="D17" s="11" t="s">
        <v>427</v>
      </c>
      <c r="E17" s="11" t="s">
        <v>428</v>
      </c>
      <c r="F17" s="12" t="s">
        <v>64</v>
      </c>
      <c r="G17" s="14" t="s">
        <v>376</v>
      </c>
    </row>
    <row r="18" spans="1:7" ht="36" customHeight="1" x14ac:dyDescent="0.3">
      <c r="A18" s="6" t="s">
        <v>429</v>
      </c>
      <c r="B18" s="6" t="s">
        <v>430</v>
      </c>
      <c r="C18" s="6" t="s">
        <v>247</v>
      </c>
      <c r="D18" s="7" t="s">
        <v>307</v>
      </c>
      <c r="E18" s="7" t="s">
        <v>431</v>
      </c>
      <c r="F18" s="8" t="s">
        <v>36</v>
      </c>
      <c r="G18" s="14" t="s">
        <v>376</v>
      </c>
    </row>
    <row r="19" spans="1:7" ht="36" customHeight="1" x14ac:dyDescent="0.3">
      <c r="A19" s="10" t="s">
        <v>432</v>
      </c>
      <c r="B19" s="10" t="s">
        <v>433</v>
      </c>
      <c r="C19" s="10" t="s">
        <v>247</v>
      </c>
      <c r="D19" s="11" t="s">
        <v>434</v>
      </c>
      <c r="E19" s="11" t="s">
        <v>435</v>
      </c>
      <c r="F19" s="8" t="s">
        <v>36</v>
      </c>
      <c r="G19" s="14" t="s">
        <v>376</v>
      </c>
    </row>
    <row r="20" spans="1:7" ht="36" customHeight="1" x14ac:dyDescent="0.3">
      <c r="A20" s="6" t="s">
        <v>436</v>
      </c>
      <c r="B20" s="6" t="s">
        <v>321</v>
      </c>
      <c r="C20" s="6" t="s">
        <v>313</v>
      </c>
      <c r="D20" s="7" t="s">
        <v>319</v>
      </c>
      <c r="E20" s="7" t="s">
        <v>437</v>
      </c>
      <c r="F20" s="8" t="s">
        <v>36</v>
      </c>
      <c r="G20" s="14" t="s">
        <v>376</v>
      </c>
    </row>
    <row r="21" spans="1:7" ht="36" customHeight="1" x14ac:dyDescent="0.3">
      <c r="A21" s="10" t="s">
        <v>438</v>
      </c>
      <c r="B21" s="10" t="s">
        <v>326</v>
      </c>
      <c r="C21" s="10" t="s">
        <v>313</v>
      </c>
      <c r="D21" s="11" t="s">
        <v>324</v>
      </c>
      <c r="E21" s="11" t="s">
        <v>439</v>
      </c>
      <c r="F21" s="8" t="s">
        <v>36</v>
      </c>
      <c r="G21" s="14" t="s">
        <v>376</v>
      </c>
    </row>
    <row r="22" spans="1:7" ht="36" customHeight="1" x14ac:dyDescent="0.3">
      <c r="A22" s="6" t="s">
        <v>440</v>
      </c>
      <c r="B22" s="6" t="s">
        <v>441</v>
      </c>
      <c r="C22" s="6" t="s">
        <v>313</v>
      </c>
      <c r="D22" s="7" t="s">
        <v>442</v>
      </c>
      <c r="E22" s="7" t="s">
        <v>443</v>
      </c>
      <c r="F22" s="8" t="s">
        <v>36</v>
      </c>
      <c r="G22" s="14" t="s">
        <v>376</v>
      </c>
    </row>
    <row r="23" spans="1:7" ht="36" customHeight="1" x14ac:dyDescent="0.3">
      <c r="A23" s="10" t="s">
        <v>444</v>
      </c>
      <c r="B23" s="10" t="s">
        <v>445</v>
      </c>
      <c r="C23" s="10" t="s">
        <v>313</v>
      </c>
      <c r="D23" s="11" t="s">
        <v>446</v>
      </c>
      <c r="E23" s="11" t="s">
        <v>447</v>
      </c>
      <c r="F23" s="8" t="s">
        <v>36</v>
      </c>
      <c r="G23" s="14" t="s">
        <v>376</v>
      </c>
    </row>
    <row r="24" spans="1:7" ht="36" customHeight="1" x14ac:dyDescent="0.3">
      <c r="A24" s="6" t="s">
        <v>448</v>
      </c>
      <c r="B24" s="6" t="s">
        <v>449</v>
      </c>
      <c r="C24" s="6" t="s">
        <v>313</v>
      </c>
      <c r="D24" s="7" t="s">
        <v>352</v>
      </c>
      <c r="E24" s="7" t="s">
        <v>450</v>
      </c>
      <c r="F24" s="8" t="s">
        <v>36</v>
      </c>
      <c r="G24" s="14" t="s">
        <v>376</v>
      </c>
    </row>
    <row r="25" spans="1:7" ht="36" customHeight="1" x14ac:dyDescent="0.3">
      <c r="A25" s="10" t="s">
        <v>451</v>
      </c>
      <c r="B25" s="10" t="s">
        <v>452</v>
      </c>
      <c r="C25" s="10" t="s">
        <v>313</v>
      </c>
      <c r="D25" s="11" t="s">
        <v>453</v>
      </c>
      <c r="E25" s="11" t="s">
        <v>454</v>
      </c>
      <c r="F25" s="12" t="s">
        <v>64</v>
      </c>
      <c r="G25" s="14" t="s">
        <v>376</v>
      </c>
    </row>
  </sheetData>
  <autoFilter ref="A1:G2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C00"/>
  </sheetPr>
  <dimension ref="B2:F18"/>
  <sheetViews>
    <sheetView showGridLines="0" zoomScaleNormal="100" workbookViewId="0"/>
  </sheetViews>
  <sheetFormatPr defaultColWidth="8.6640625" defaultRowHeight="14.4" x14ac:dyDescent="0.3"/>
  <cols>
    <col min="2" max="2" width="22" customWidth="1"/>
    <col min="3" max="3" width="16" customWidth="1"/>
  </cols>
  <sheetData>
    <row r="2" spans="2:6" ht="36" customHeight="1" x14ac:dyDescent="0.3">
      <c r="B2" s="1" t="s">
        <v>455</v>
      </c>
      <c r="C2" s="1"/>
      <c r="D2" s="1"/>
      <c r="E2" s="1"/>
      <c r="F2" s="1"/>
    </row>
    <row r="4" spans="2:6" x14ac:dyDescent="0.3">
      <c r="B4" s="4" t="s">
        <v>456</v>
      </c>
      <c r="C4" s="15">
        <f>COUNTA('Test Cases'!A:A)-1</f>
        <v>60</v>
      </c>
    </row>
    <row r="5" spans="2:6" x14ac:dyDescent="0.3">
      <c r="B5" s="4" t="s">
        <v>13</v>
      </c>
      <c r="C5" s="15">
        <f>COUNTIF('Test Cases'!L:L,"Pass")</f>
        <v>59</v>
      </c>
    </row>
    <row r="6" spans="2:6" x14ac:dyDescent="0.3">
      <c r="B6" s="4" t="s">
        <v>14</v>
      </c>
      <c r="C6" s="15">
        <f>COUNTIF('Test Cases'!L:L,"Fail")</f>
        <v>1</v>
      </c>
    </row>
    <row r="7" spans="2:6" x14ac:dyDescent="0.3">
      <c r="B7" s="4" t="s">
        <v>457</v>
      </c>
      <c r="C7" s="15">
        <f>COUNTIF('Test Cases'!L:L,"Blocked")</f>
        <v>0</v>
      </c>
    </row>
    <row r="8" spans="2:6" x14ac:dyDescent="0.3">
      <c r="B8" s="4" t="s">
        <v>15</v>
      </c>
      <c r="C8" s="15">
        <f>COUNTIF('Test Cases'!L:L,"Not Run")</f>
        <v>0</v>
      </c>
    </row>
    <row r="9" spans="2:6" x14ac:dyDescent="0.3">
      <c r="B9" s="4" t="s">
        <v>458</v>
      </c>
      <c r="C9" s="16">
        <f>IF(COUNTA('Test Cases'!A:A)-1&gt;0,COUNTIF('Test Cases'!L:L,"Pass")/(COUNTA('Test Cases'!A:A)-1),0)</f>
        <v>0.98333333333333328</v>
      </c>
    </row>
    <row r="12" spans="2:6" x14ac:dyDescent="0.3">
      <c r="B12" s="4" t="s">
        <v>17</v>
      </c>
      <c r="C12" s="4" t="s">
        <v>459</v>
      </c>
    </row>
    <row r="13" spans="2:6" x14ac:dyDescent="0.3">
      <c r="B13" s="11" t="s">
        <v>29</v>
      </c>
      <c r="C13" s="10">
        <f>COUNTIF('Test Cases'!B:B,"Registration")</f>
        <v>10</v>
      </c>
    </row>
    <row r="14" spans="2:6" x14ac:dyDescent="0.3">
      <c r="B14" s="7" t="s">
        <v>94</v>
      </c>
      <c r="C14" s="6">
        <f>COUNTIF('Test Cases'!B:B,"Login")</f>
        <v>10</v>
      </c>
    </row>
    <row r="15" spans="2:6" x14ac:dyDescent="0.3">
      <c r="B15" s="11" t="s">
        <v>151</v>
      </c>
      <c r="C15" s="10">
        <f>COUNTIF('Test Cases'!B:B,"Quote")</f>
        <v>10</v>
      </c>
    </row>
    <row r="16" spans="2:6" x14ac:dyDescent="0.3">
      <c r="B16" s="7" t="s">
        <v>202</v>
      </c>
      <c r="C16" s="6">
        <f>COUNTIF('Test Cases'!B:B,"Policy")</f>
        <v>8</v>
      </c>
    </row>
    <row r="17" spans="2:3" x14ac:dyDescent="0.3">
      <c r="B17" s="11" t="s">
        <v>247</v>
      </c>
      <c r="C17" s="10">
        <f>COUNTIF('Test Cases'!B:B,"Claims")</f>
        <v>12</v>
      </c>
    </row>
    <row r="18" spans="2:3" x14ac:dyDescent="0.3">
      <c r="B18" s="7" t="s">
        <v>313</v>
      </c>
      <c r="C18" s="6">
        <f>COUNTIF('Test Cases'!B:B,"Admin")</f>
        <v>10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Cases</vt:lpstr>
      <vt:lpstr>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Anushka Yogesh Tuse</cp:lastModifiedBy>
  <cp:revision>0</cp:revision>
  <dcterms:created xsi:type="dcterms:W3CDTF">2026-06-03T23:00:22Z</dcterms:created>
  <dcterms:modified xsi:type="dcterms:W3CDTF">2026-06-04T01:39:49Z</dcterms:modified>
  <dc:language>en-US</dc:language>
</cp:coreProperties>
</file>